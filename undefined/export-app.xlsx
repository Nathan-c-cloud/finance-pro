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Réglages" state="visible" r:id="rId5"/>
    <sheet sheetId="3" name="Catégories" state="visible" r:id="rId6"/>
    <sheet sheetId="4" name="Dépenses fixes" state="visible" r:id="rId7"/>
    <sheet sheetId="5" name="Mois" state="visible" r:id="rId8"/>
    <sheet sheetId="6" name="Transactions" state="visible" r:id="rId9"/>
  </sheets>
  <calcPr calcId="171027"/>
</workbook>
</file>

<file path=xl/sharedStrings.xml><?xml version="1.0" encoding="utf-8"?>
<sst xmlns="http://schemas.openxmlformats.org/spreadsheetml/2006/main" count="148" uniqueCount="92">
  <si>
    <t>Suivi Budget, classeur d'échange</t>
  </si>
  <si>
    <t>Exporté le 29 septembre 2026. Ce fichier contient toutes tes données, comme dans l'application. Tu peux le remplir sans connexion, puis le réimporter : Réglages, Importer un fichier Excel.</t>
  </si>
  <si>
    <t/>
  </si>
  <si>
    <t>Les onglets</t>
  </si>
  <si>
    <t>•  Réglages : le solde initial, avant le premier mois.</t>
  </si>
  <si>
    <t>•  Catégories : la liste des catégories (la catégorie « Épargne » pilote le calcul de l'épargne).</t>
  </si>
  <si>
    <t>•  Dépenses fixes : le modèle des charges récurrentes, copié dans chaque mois par le bouton « Ajouter les dépenses fixes ».</t>
  </si>
  <si>
    <t>•  Mois : un mois par ligne, avec les soldes calculés (colonnes grises).</t>
  </si>
  <si>
    <t>•  Transactions : toutes les lignes de tous les mois (revenus, dépenses fixes, dépenses variables).</t>
  </si>
  <si>
    <t>Comment remplir</t>
  </si>
  <si>
    <t>•  Ajoute une ligne à la suite du tableau. Laisse la colonne ID vide (elle est masquée) : l'application la créera.</t>
  </si>
  <si>
    <t>•  Ne supprime pas la colonne ID et ne modifie pas les identifiants existants : ils permettent de retrouver chaque ligne.</t>
  </si>
  <si>
    <t>•  Écris le mois au format AAAA-MM (par exemple 2026-10), ou choisis-le dans la liste.</t>
  </si>
  <si>
    <t>•  Les montants sont positifs, avec la virgule ou le point. C'est le type (Revenu, Dépense fixe, Dépense variable) qui donne le sens.</t>
  </si>
  <si>
    <t>•  Pour une nouvelle catégorie, ajoute-la d'abord dans l'onglet Catégories, puis choisis-la dans la liste.</t>
  </si>
  <si>
    <t>•  Dans l'onglet Mois, garde les mois dans l'ordre chronologique : le solde de fin d'un mois devient le solde de début du suivant. Les colonnes grises sont calculées, ne les modifie pas.</t>
  </si>
  <si>
    <t>•  « Solde de départ forcé » est optionnel : laisse-le vide pour reporter automatiquement le solde de fin du mois précédent. « Solde réel constaté » sert au rapprochement bancaire (optionnel aussi).</t>
  </si>
  <si>
    <t>•  Les formules et les listes couvrent 5000 lignes de transactions et 60 mois.</t>
  </si>
  <si>
    <t>À l'import</t>
  </si>
  <si>
    <t>•  L'application affiche d'abord un aperçu : rien n'est modifié avant que tu valides.</t>
  </si>
  <si>
    <t>•  Une ligne dont l'ID existe est mise à jour. Une ligne sans ID est ajoutée.</t>
  </si>
  <si>
    <t>•  Une ligne absente du fichier n'est jamais supprimée, sauf si tu coches l'option dans l'aperçu.</t>
  </si>
  <si>
    <t>•  Après un import, télécharge un nouvel export pour repartir d'un fichier à jour.</t>
  </si>
  <si>
    <t>Suivi Budget, classeur v1</t>
  </si>
  <si>
    <t>Réglage</t>
  </si>
  <si>
    <t>Valeur</t>
  </si>
  <si>
    <t>Solde initial (€)</t>
  </si>
  <si>
    <t>Le solde bancaire avant le premier mois enregistré.</t>
  </si>
  <si>
    <t>Catégorie d'épargne</t>
  </si>
  <si>
    <t>Épargne</t>
  </si>
  <si>
    <t>Nom de la catégorie d'épargne, utilisé par les formules de l'onglet Mois (ne pas modifier).</t>
  </si>
  <si>
    <t>Nom</t>
  </si>
  <si>
    <t>Logement</t>
  </si>
  <si>
    <t>Abonnements</t>
  </si>
  <si>
    <t>Courses</t>
  </si>
  <si>
    <t>Transport</t>
  </si>
  <si>
    <t>ID</t>
  </si>
  <si>
    <t>Montant de la période (€)</t>
  </si>
  <si>
    <t>Catégorie</t>
  </si>
  <si>
    <t>Fréquence</t>
  </si>
  <si>
    <t>Jour de prélèvement</t>
  </si>
  <si>
    <t>Active</t>
  </si>
  <si>
    <t>Part mensuelle (€)</t>
  </si>
  <si>
    <t>f1</t>
  </si>
  <si>
    <t>Loyer</t>
  </si>
  <si>
    <t>Mensuelle</t>
  </si>
  <si>
    <t>Oui</t>
  </si>
  <si>
    <t>f2</t>
  </si>
  <si>
    <t>Assurance auto</t>
  </si>
  <si>
    <t>Annuelle</t>
  </si>
  <si>
    <t>f3</t>
  </si>
  <si>
    <t>Cantine</t>
  </si>
  <si>
    <t>Trimestrielle</t>
  </si>
  <si>
    <t>Non</t>
  </si>
  <si>
    <t>Mois (AAAA-MM)</t>
  </si>
  <si>
    <t>Statut</t>
  </si>
  <si>
    <t>Solde de départ forcé (€)</t>
  </si>
  <si>
    <t>Solde réel constaté (€)</t>
  </si>
  <si>
    <t>Solde début (€)</t>
  </si>
  <si>
    <t>Revenus (€)</t>
  </si>
  <si>
    <t>Dépenses hors épargne (€)</t>
  </si>
  <si>
    <t>Épargne (€)</t>
  </si>
  <si>
    <t>Taux d'épargne</t>
  </si>
  <si>
    <t>Évolution du compte (€)</t>
  </si>
  <si>
    <t>Solde théorique fin de mois (€)</t>
  </si>
  <si>
    <t>m1</t>
  </si>
  <si>
    <t>2026-08</t>
  </si>
  <si>
    <t>Clôturé</t>
  </si>
  <si>
    <t>m2</t>
  </si>
  <si>
    <t>2026-09</t>
  </si>
  <si>
    <t>Courant</t>
  </si>
  <si>
    <t>Type</t>
  </si>
  <si>
    <t>Montant (€)</t>
  </si>
  <si>
    <t>Date</t>
  </si>
  <si>
    <t>Détail</t>
  </si>
  <si>
    <t>Nécessaire ?</t>
  </si>
  <si>
    <t>Reçu ?</t>
  </si>
  <si>
    <t>t1</t>
  </si>
  <si>
    <t>Revenu</t>
  </si>
  <si>
    <t>Salaire août</t>
  </si>
  <si>
    <t>t2</t>
  </si>
  <si>
    <t>Dépense fixe</t>
  </si>
  <si>
    <t>t3</t>
  </si>
  <si>
    <t>Virement épargne</t>
  </si>
  <si>
    <t>t4</t>
  </si>
  <si>
    <t>Dépense variable</t>
  </si>
  <si>
    <t>Carrefour</t>
  </si>
  <si>
    <t>t8</t>
  </si>
  <si>
    <t>t5</t>
  </si>
  <si>
    <t>Salaire sept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</si>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</sst>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€&quot;"/>
    <numFmt numFmtId="165" formatCode="0.0%"/>
    <numFmt numFmtId="166" formatCode="dd/mm/yyyy"/>
  </numFmts>
  <fonts count="9" x14ac:knownFonts="1">
    <font>
      <color theme="1"/>
      <family val="2"/>
      <scheme val="minor"/>
      <sz val="11"/>
      <name val="Calibri"/>
    </font>
    <font>
      <b/>
      <color rgb="FF245B63"/>
      <sz val="22"/>
      <name val="Calibri"/>
    </font>
    <font>
      <color rgb="FF68736D"/>
      <sz val="12"/>
      <name val="Calibri"/>
    </font>
    <font>
      <b/>
      <color rgb="FF245B63"/>
      <sz val="13"/>
      <name val="Calibri"/>
    </font>
    <font>
      <color rgb="FF17201C"/>
      <sz val="11"/>
      <name val="Calibri"/>
    </font>
    <font>
      <color rgb="FF68736D"/>
      <sz val="9"/>
      <name val="Calibri"/>
    </font>
    <font>
      <b/>
      <color rgb="FFFFFFFF"/>
      <sz val="11"/>
      <name val="Calibri"/>
    </font>
    <font>
      <i/>
      <color rgb="FF68736D"/>
      <sz val="10"/>
      <name val="Calibri"/>
    </font>
    <font>
      <i/>
      <color rgb="FF245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FEBE0"/>
      </patternFill>
    </fill>
    <fill>
      <patternFill patternType="solid">
        <fgColor rgb="FF245B63"/>
      </patternFill>
    </fill>
    <fill>
      <patternFill patternType="solid">
        <fgColor rgb="FF68736D"/>
      </patternFill>
    </fill>
    <fill>
      <patternFill patternType="solid">
        <fgColor rgb="FFE3EE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8DDE0"/>
      </bottom>
      <diagonal/>
    </border>
    <border>
      <left/>
      <right/>
      <top/>
      <bottom style="thin">
        <color rgb="FFE1E5D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3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4" fillId="0" borderId="2" xfId="0" applyFont="1" applyBorder="1" applyAlignment="1">
      <alignment vertical="center" indent="1"/>
    </xf>
    <xf numFmtId="164" fontId="4" fillId="0" borderId="2" xfId="0" applyNumberFormat="1" applyFont="1" applyBorder="1" applyAlignment="1">
      <alignment horizontal="right" vertical="center" indent="1"/>
    </xf>
    <xf numFmtId="0" fontId="7" fillId="0" borderId="2" xfId="0" applyFont="1" applyBorder="1" applyAlignment="1">
      <alignment vertical="center" indent="1"/>
    </xf>
    <xf numFmtId="164" fontId="0" fillId="0" borderId="0" xfId="0" applyNumberFormat="1"/>
    <xf numFmtId="164" fontId="6" fillId="3" borderId="0" xfId="0" applyNumberFormat="1" applyFont="1" applyFill="1" applyAlignment="1">
      <alignment horizontal="left" vertical="center" wrapText="1" indent="1"/>
    </xf>
    <xf numFmtId="164" fontId="6" fillId="4" borderId="0" xfId="0" applyNumberFormat="1" applyFont="1" applyFill="1" applyAlignment="1">
      <alignment horizontal="left" vertical="center" wrapText="1" indent="1"/>
    </xf>
    <xf numFmtId="164" fontId="4" fillId="0" borderId="2" xfId="0" applyNumberFormat="1" applyFont="1" applyBorder="1" applyAlignment="1">
      <alignment vertical="center" indent="1"/>
    </xf>
    <xf numFmtId="164" fontId="8" fillId="5" borderId="2" xfId="0" applyNumberFormat="1" applyFont="1" applyFill="1" applyBorder="1" applyAlignment="1">
      <alignment vertical="center" indent="1"/>
    </xf>
    <xf numFmtId="49" fontId="0" fillId="0" borderId="0" xfId="0" applyNumberFormat="1"/>
    <xf numFmtId="165" fontId="0" fillId="0" borderId="0" xfId="0" applyNumberFormat="1"/>
    <xf numFmtId="49" fontId="6" fillId="3" borderId="0" xfId="0" applyNumberFormat="1" applyFont="1" applyFill="1" applyAlignment="1">
      <alignment horizontal="left" vertical="center" wrapText="1" indent="1"/>
    </xf>
    <xf numFmtId="165" fontId="6" fillId="4" borderId="0" xfId="0" applyNumberFormat="1" applyFont="1" applyFill="1" applyAlignment="1">
      <alignment horizontal="left" vertical="center" wrapText="1" indent="1"/>
    </xf>
    <xf numFmtId="49" fontId="4" fillId="0" borderId="2" xfId="0" applyNumberFormat="1" applyFont="1" applyBorder="1" applyAlignment="1">
      <alignment vertical="center" indent="1"/>
    </xf>
    <xf numFmtId="165" fontId="8" fillId="5" borderId="2" xfId="0" applyNumberFormat="1" applyFont="1" applyFill="1" applyBorder="1" applyAlignment="1">
      <alignment vertical="center" indent="1"/>
    </xf>
    <xf numFmtId="166" fontId="0" fillId="0" borderId="0" xfId="0" applyNumberFormat="1"/>
    <xf numFmtId="166" fontId="6" fillId="3" borderId="0" xfId="0" applyNumberFormat="1" applyFont="1" applyFill="1" applyAlignment="1">
      <alignment horizontal="left" vertical="center" wrapText="1" indent="1"/>
    </xf>
    <xf numFmtId="166" fontId="4" fillId="0" borderId="2" xfId="0" applyNumberFormat="1" applyFont="1" applyBorder="1" applyAlignment="1">
      <alignment vertical="center" indent="1"/>
    </xf>
  </cellXfs>
  <cellStyles count="1">
    <cellStyle name="Normal" xfId="0" builtinId="0"/>
  </cellStyles>
  <dxfs count="1">
    <dxf>
      <fill>
        <patternFill patternType="solid">
          <bgColor rgb="FFE5F2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7A2E"/>
  </sheetPr>
  <dimension ref="A1:C3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0" customWidth="1"/>
  </cols>
  <sheetData>
    <row r="1" spans="1:3" x14ac:dyDescent="0.25">
      <c r="A1" s="1"/>
      <c r="B1" s="1"/>
      <c r="C1" s="1"/>
    </row>
    <row r="2" ht="36" customHeight="1" spans="1:3" x14ac:dyDescent="0.25">
      <c r="A2" s="1"/>
      <c r="B2" s="2" t="s">
        <v>0</v>
      </c>
      <c r="C2" s="1"/>
    </row>
    <row r="3" ht="36" customHeight="1" spans="1:3" x14ac:dyDescent="0.25">
      <c r="A3" s="1"/>
      <c r="B3" s="3" t="s">
        <v>1</v>
      </c>
      <c r="C3" s="1"/>
    </row>
    <row r="4" ht="10" customHeight="1" spans="1:3" x14ac:dyDescent="0.25">
      <c r="A4" s="1"/>
      <c r="B4" s="4" t="s">
        <v>2</v>
      </c>
      <c r="C4" s="1"/>
    </row>
    <row r="5" ht="24" customHeight="1" spans="1:3" x14ac:dyDescent="0.25">
      <c r="A5" s="1"/>
      <c r="B5" s="5" t="s">
        <v>3</v>
      </c>
      <c r="C5" s="1"/>
    </row>
    <row r="6" ht="20" customHeight="1" spans="1:3" x14ac:dyDescent="0.25">
      <c r="A6" s="1"/>
      <c r="B6" s="6" t="s">
        <v>4</v>
      </c>
      <c r="C6" s="1"/>
    </row>
    <row r="7" ht="20" customHeight="1" spans="1:3" x14ac:dyDescent="0.25">
      <c r="A7" s="1"/>
      <c r="B7" s="6" t="s">
        <v>5</v>
      </c>
      <c r="C7" s="1"/>
    </row>
    <row r="8" ht="34" customHeight="1" spans="1:3" x14ac:dyDescent="0.25">
      <c r="A8" s="1"/>
      <c r="B8" s="6" t="s">
        <v>6</v>
      </c>
      <c r="C8" s="1"/>
    </row>
    <row r="9" ht="20" customHeight="1" spans="1:3" x14ac:dyDescent="0.25">
      <c r="A9" s="1"/>
      <c r="B9" s="6" t="s">
        <v>7</v>
      </c>
      <c r="C9" s="1"/>
    </row>
    <row r="10" ht="20" customHeight="1" spans="1:3" x14ac:dyDescent="0.25">
      <c r="A10" s="1"/>
      <c r="B10" s="6" t="s">
        <v>8</v>
      </c>
      <c r="C10" s="1"/>
    </row>
    <row r="11" ht="10" customHeight="1" spans="1:3" x14ac:dyDescent="0.25">
      <c r="A11" s="1"/>
      <c r="B11" s="4" t="s">
        <v>2</v>
      </c>
      <c r="C11" s="1"/>
    </row>
    <row r="12" ht="24" customHeight="1" spans="1:3" x14ac:dyDescent="0.25">
      <c r="A12" s="1"/>
      <c r="B12" s="5" t="s">
        <v>9</v>
      </c>
      <c r="C12" s="1"/>
    </row>
    <row r="13" ht="34" customHeight="1" spans="1:3" x14ac:dyDescent="0.25">
      <c r="A13" s="1"/>
      <c r="B13" s="6" t="s">
        <v>10</v>
      </c>
      <c r="C13" s="1"/>
    </row>
    <row r="14" ht="34" customHeight="1" spans="1:3" x14ac:dyDescent="0.25">
      <c r="A14" s="1"/>
      <c r="B14" s="6" t="s">
        <v>11</v>
      </c>
      <c r="C14" s="1"/>
    </row>
    <row r="15" ht="20" customHeight="1" spans="1:3" x14ac:dyDescent="0.25">
      <c r="A15" s="1"/>
      <c r="B15" s="6" t="s">
        <v>12</v>
      </c>
      <c r="C15" s="1"/>
    </row>
    <row r="16" ht="34" customHeight="1" spans="1:3" x14ac:dyDescent="0.25">
      <c r="A16" s="1"/>
      <c r="B16" s="6" t="s">
        <v>13</v>
      </c>
      <c r="C16" s="1"/>
    </row>
    <row r="17" ht="20" customHeight="1" spans="1:3" x14ac:dyDescent="0.25">
      <c r="A17" s="1"/>
      <c r="B17" s="6" t="s">
        <v>14</v>
      </c>
      <c r="C17" s="1"/>
    </row>
    <row r="18" ht="34" customHeight="1" spans="1:3" x14ac:dyDescent="0.25">
      <c r="A18" s="1"/>
      <c r="B18" s="6" t="s">
        <v>15</v>
      </c>
      <c r="C18" s="1"/>
    </row>
    <row r="19" ht="34" customHeight="1" spans="1:3" x14ac:dyDescent="0.25">
      <c r="A19" s="1"/>
      <c r="B19" s="6" t="s">
        <v>16</v>
      </c>
      <c r="C19" s="1"/>
    </row>
    <row r="20" ht="20" customHeight="1" spans="1:3" x14ac:dyDescent="0.25">
      <c r="A20" s="1"/>
      <c r="B20" s="6" t="s">
        <v>17</v>
      </c>
      <c r="C20" s="1"/>
    </row>
    <row r="21" ht="10" customHeight="1" spans="1:3" x14ac:dyDescent="0.25">
      <c r="A21" s="1"/>
      <c r="B21" s="4" t="s">
        <v>2</v>
      </c>
      <c r="C21" s="1"/>
    </row>
    <row r="22" ht="24" customHeight="1" spans="1:3" x14ac:dyDescent="0.25">
      <c r="A22" s="1"/>
      <c r="B22" s="5" t="s">
        <v>18</v>
      </c>
      <c r="C22" s="1"/>
    </row>
    <row r="23" ht="20" customHeight="1" spans="1:3" x14ac:dyDescent="0.25">
      <c r="A23" s="1"/>
      <c r="B23" s="6" t="s">
        <v>19</v>
      </c>
      <c r="C23" s="1"/>
    </row>
    <row r="24" ht="20" customHeight="1" spans="1:3" x14ac:dyDescent="0.25">
      <c r="A24" s="1"/>
      <c r="B24" s="6" t="s">
        <v>20</v>
      </c>
      <c r="C24" s="1"/>
    </row>
    <row r="25" ht="20" customHeight="1" spans="1:3" x14ac:dyDescent="0.25">
      <c r="A25" s="1"/>
      <c r="B25" s="6" t="s">
        <v>21</v>
      </c>
      <c r="C25" s="1"/>
    </row>
    <row r="26" ht="20" customHeight="1" spans="1:3" x14ac:dyDescent="0.25">
      <c r="A26" s="1"/>
      <c r="B26" s="6" t="s">
        <v>22</v>
      </c>
      <c r="C26" s="1"/>
    </row>
    <row r="27" ht="10" customHeight="1" spans="1:3" x14ac:dyDescent="0.25">
      <c r="A27" s="1"/>
      <c r="B27" s="4" t="s">
        <v>2</v>
      </c>
      <c r="C27" s="1"/>
    </row>
    <row r="28" spans="1:3" x14ac:dyDescent="0.25">
      <c r="A28" s="1"/>
      <c r="B28" s="7" t="s">
        <v>23</v>
      </c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B63"/>
  </sheetPr>
  <dimension ref="A1:C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70" customWidth="1"/>
  </cols>
  <sheetData>
    <row r="1" ht="30" customHeight="1" spans="1:3" x14ac:dyDescent="0.25">
      <c r="A1" s="8" t="s">
        <v>24</v>
      </c>
      <c r="B1" s="8" t="s">
        <v>25</v>
      </c>
      <c r="C1" s="9" t="s">
        <v>2</v>
      </c>
    </row>
    <row r="2" ht="20" customHeight="1" spans="1:3" x14ac:dyDescent="0.25">
      <c r="A2" s="10" t="s">
        <v>26</v>
      </c>
      <c r="B2" s="11">
        <v>1000</v>
      </c>
      <c r="C2" s="12" t="s">
        <v>27</v>
      </c>
    </row>
    <row r="3" ht="20" customHeight="1" spans="1:3" x14ac:dyDescent="0.25">
      <c r="A3" s="10" t="s">
        <v>28</v>
      </c>
      <c r="B3" s="10" t="s">
        <v>29</v>
      </c>
      <c r="C3" s="12" t="s">
        <v>30</v>
      </c>
    </row>
  </sheetData>
  <dataValidations count="1">
    <dataValidation type="decimal" showErrorMessage="1" error="Saisis un montant." sqref="B2">
      <formula1>-1000000000</formula1>
      <formula2>1000000000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B63"/>
  </sheetPr>
  <dimension ref="A1:A4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</cols>
  <sheetData>
    <row r="1" ht="30" customHeight="1" spans="1:1" x14ac:dyDescent="0.25">
      <c r="A1" s="8" t="s">
        <v>31</v>
      </c>
    </row>
    <row r="2" ht="20" customHeight="1" spans="1:1" x14ac:dyDescent="0.25">
      <c r="A2" s="10" t="s">
        <v>32</v>
      </c>
    </row>
    <row r="3" ht="20" customHeight="1" spans="1:1" x14ac:dyDescent="0.25">
      <c r="A3" s="10" t="s">
        <v>33</v>
      </c>
    </row>
    <row r="4" ht="20" customHeight="1" spans="1:1" x14ac:dyDescent="0.25">
      <c r="A4" s="10" t="s">
        <v>34</v>
      </c>
    </row>
    <row r="5" ht="20" customHeight="1" spans="1:1" x14ac:dyDescent="0.25">
      <c r="A5" s="10" t="s">
        <v>35</v>
      </c>
    </row>
    <row r="6" ht="20" customHeight="1" spans="1:1" x14ac:dyDescent="0.25">
      <c r="A6" s="10" t="s">
        <v>29</v>
      </c>
    </row>
    <row r="7" ht="20" customHeight="1" spans="1:1" x14ac:dyDescent="0.25">
      <c r="A7" s="10"/>
    </row>
    <row r="8" ht="20" customHeight="1" spans="1:1" x14ac:dyDescent="0.25">
      <c r="A8" s="10"/>
    </row>
    <row r="9" ht="20" customHeight="1" spans="1:1" x14ac:dyDescent="0.25">
      <c r="A9" s="10"/>
    </row>
    <row r="10" ht="20" customHeight="1" spans="1:1" x14ac:dyDescent="0.25">
      <c r="A10" s="10"/>
    </row>
    <row r="11" ht="20" customHeight="1" spans="1:1" x14ac:dyDescent="0.25">
      <c r="A11" s="10"/>
    </row>
    <row r="12" ht="20" customHeight="1" spans="1:1" x14ac:dyDescent="0.25">
      <c r="A12" s="10"/>
    </row>
    <row r="13" ht="20" customHeight="1" spans="1:1" x14ac:dyDescent="0.25">
      <c r="A13" s="10"/>
    </row>
    <row r="14" ht="20" customHeight="1" spans="1:1" x14ac:dyDescent="0.25">
      <c r="A14" s="10"/>
    </row>
    <row r="15" ht="20" customHeight="1" spans="1:1" x14ac:dyDescent="0.25">
      <c r="A15" s="10"/>
    </row>
    <row r="16" ht="20" customHeight="1" spans="1:1" x14ac:dyDescent="0.25">
      <c r="A16" s="10"/>
    </row>
    <row r="17" ht="20" customHeight="1" spans="1:1" x14ac:dyDescent="0.25">
      <c r="A17" s="10"/>
    </row>
    <row r="18" ht="20" customHeight="1" spans="1:1" x14ac:dyDescent="0.25">
      <c r="A18" s="10"/>
    </row>
    <row r="19" ht="20" customHeight="1" spans="1:1" x14ac:dyDescent="0.25">
      <c r="A19" s="10"/>
    </row>
    <row r="20" ht="20" customHeight="1" spans="1:1" x14ac:dyDescent="0.25">
      <c r="A20" s="10"/>
    </row>
    <row r="21" ht="20" customHeight="1" spans="1:1" x14ac:dyDescent="0.25">
      <c r="A21" s="10"/>
    </row>
    <row r="22" ht="20" customHeight="1" spans="1:1" x14ac:dyDescent="0.25">
      <c r="A22" s="10"/>
    </row>
    <row r="23" ht="20" customHeight="1" spans="1:1" x14ac:dyDescent="0.25">
      <c r="A23" s="10"/>
    </row>
    <row r="24" ht="20" customHeight="1" spans="1:1" x14ac:dyDescent="0.25">
      <c r="A24" s="10"/>
    </row>
    <row r="25" ht="20" customHeight="1" spans="1:1" x14ac:dyDescent="0.25">
      <c r="A25" s="10"/>
    </row>
    <row r="26" ht="20" customHeight="1" spans="1:1" x14ac:dyDescent="0.25">
      <c r="A26" s="10"/>
    </row>
    <row r="27" ht="20" customHeight="1" spans="1:1" x14ac:dyDescent="0.25">
      <c r="A27" s="10"/>
    </row>
    <row r="28" ht="20" customHeight="1" spans="1:1" x14ac:dyDescent="0.25">
      <c r="A28" s="10"/>
    </row>
    <row r="29" ht="20" customHeight="1" spans="1:1" x14ac:dyDescent="0.25">
      <c r="A29" s="10"/>
    </row>
    <row r="30" ht="20" customHeight="1" spans="1:1" x14ac:dyDescent="0.25">
      <c r="A30" s="10"/>
    </row>
    <row r="31" ht="20" customHeight="1" spans="1:1" x14ac:dyDescent="0.25">
      <c r="A31" s="10"/>
    </row>
    <row r="32" ht="20" customHeight="1" spans="1:1" x14ac:dyDescent="0.25">
      <c r="A32" s="10"/>
    </row>
    <row r="33" ht="20" customHeight="1" spans="1:1" x14ac:dyDescent="0.25">
      <c r="A33" s="10"/>
    </row>
    <row r="34" ht="20" customHeight="1" spans="1:1" x14ac:dyDescent="0.25">
      <c r="A34" s="10"/>
    </row>
    <row r="35" ht="20" customHeight="1" spans="1:1" x14ac:dyDescent="0.25">
      <c r="A35" s="10"/>
    </row>
    <row r="36" ht="20" customHeight="1" spans="1:1" x14ac:dyDescent="0.25">
      <c r="A36" s="10"/>
    </row>
    <row r="37" ht="20" customHeight="1" spans="1:1" x14ac:dyDescent="0.25">
      <c r="A37" s="10"/>
    </row>
    <row r="38" ht="20" customHeight="1" spans="1:1" x14ac:dyDescent="0.25">
      <c r="A38" s="10"/>
    </row>
    <row r="39" ht="20" customHeight="1" spans="1:1" x14ac:dyDescent="0.25">
      <c r="A39" s="10"/>
    </row>
    <row r="40" ht="20" customHeight="1" spans="1:1" x14ac:dyDescent="0.25">
      <c r="A40" s="10"/>
    </row>
    <row r="41" ht="20" customHeight="1" spans="1:1" x14ac:dyDescent="0.25">
      <c r="A41" s="10"/>
    </row>
    <row r="42" ht="20" customHeight="1" spans="1:1" x14ac:dyDescent="0.25">
      <c r="A42" s="10"/>
    </row>
    <row r="43" ht="20" customHeight="1" spans="1:1" x14ac:dyDescent="0.25">
      <c r="A43" s="10"/>
    </row>
    <row r="44" ht="20" customHeight="1" spans="1:1" x14ac:dyDescent="0.25">
      <c r="A44" s="10"/>
    </row>
    <row r="45" ht="20" customHeight="1" spans="1:1" x14ac:dyDescent="0.25">
      <c r="A45" s="10"/>
    </row>
    <row r="46" ht="20" customHeight="1" spans="1:1" x14ac:dyDescent="0.25">
      <c r="A46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B63"/>
  </sheetPr>
  <dimension ref="A1:H30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hidden="1" customWidth="1"/>
    <col min="2" max="2" width="30" customWidth="1"/>
    <col min="3" max="3" width="18" style="13" customWidth="1"/>
    <col min="4" max="4" width="22" customWidth="1"/>
    <col min="5" max="5" width="20" customWidth="1"/>
    <col min="6" max="6" width="14" customWidth="1"/>
    <col min="7" max="7" width="10" customWidth="1"/>
    <col min="8" max="8" width="18" style="13" customWidth="1"/>
  </cols>
  <sheetData>
    <row r="1" ht="30" customHeight="1" spans="1:8" x14ac:dyDescent="0.25">
      <c r="A1" s="8" t="s">
        <v>36</v>
      </c>
      <c r="B1" s="8" t="s">
        <v>31</v>
      </c>
      <c r="C1" s="14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15" t="s">
        <v>42</v>
      </c>
    </row>
    <row r="2" ht="20" customHeight="1" spans="1:8" x14ac:dyDescent="0.25">
      <c r="A2" s="10" t="s">
        <v>43</v>
      </c>
      <c r="B2" s="10" t="s">
        <v>44</v>
      </c>
      <c r="C2" s="16">
        <v>520</v>
      </c>
      <c r="D2" s="10" t="s">
        <v>32</v>
      </c>
      <c r="E2" s="10" t="s">
        <v>45</v>
      </c>
      <c r="F2" s="10">
        <v>3</v>
      </c>
      <c r="G2" s="10" t="s">
        <v>46</v>
      </c>
      <c r="H2" s="17">
        <f>IF(OR($B2="",$C2=""),"",ROUND($C2/CHOOSE(MATCH($E2,{"Mensuelle","Tous les 2 mois","Trimestrielle","Semestrielle","Annuelle"},0),1,2,3,6,12),2))</f>
        <v>520</v>
      </c>
    </row>
    <row r="3" ht="20" customHeight="1" spans="1:8" x14ac:dyDescent="0.25">
      <c r="A3" s="10" t="s">
        <v>47</v>
      </c>
      <c r="B3" s="10" t="s">
        <v>48</v>
      </c>
      <c r="C3" s="16">
        <v>480</v>
      </c>
      <c r="D3" s="10" t="s">
        <v>35</v>
      </c>
      <c r="E3" s="10" t="s">
        <v>49</v>
      </c>
      <c r="F3" s="10">
        <v>15</v>
      </c>
      <c r="G3" s="10" t="s">
        <v>46</v>
      </c>
      <c r="H3" s="17">
        <f>IF(OR($B3="",$C3=""),"",ROUND($C3/CHOOSE(MATCH($E3,{"Mensuelle","Tous les 2 mois","Trimestrielle","Semestrielle","Annuelle"},0),1,2,3,6,12),2))</f>
        <v>40</v>
      </c>
    </row>
    <row r="4" ht="20" customHeight="1" spans="1:8" x14ac:dyDescent="0.25">
      <c r="A4" s="10" t="s">
        <v>50</v>
      </c>
      <c r="B4" s="10" t="s">
        <v>51</v>
      </c>
      <c r="C4" s="16">
        <v>30</v>
      </c>
      <c r="D4" s="10" t="s">
        <v>34</v>
      </c>
      <c r="E4" s="10" t="s">
        <v>52</v>
      </c>
      <c r="F4" s="10">
        <v>1</v>
      </c>
      <c r="G4" s="10" t="s">
        <v>53</v>
      </c>
      <c r="H4" s="17">
        <f>IF(OR($B4="",$C4=""),"",ROUND($C4/CHOOSE(MATCH($E4,{"Mensuelle","Tous les 2 mois","Trimestrielle","Semestrielle","Annuelle"},0),1,2,3,6,12),2))</f>
        <v>10</v>
      </c>
    </row>
    <row r="5" ht="20" customHeight="1" spans="1:8" x14ac:dyDescent="0.25">
      <c r="A5" s="10"/>
      <c r="B5" s="10"/>
      <c r="C5" s="16"/>
      <c r="D5" s="10"/>
      <c r="E5" s="10"/>
      <c r="F5" s="10"/>
      <c r="G5" s="10"/>
      <c r="H5" s="17" t="str">
        <f>IF(OR($B5="",$C5=""),"",ROUND($C5/CHOOSE(MATCH($E5,{"Mensuelle","Tous les 2 mois","Trimestrielle","Semestrielle","Annuelle"},0),1,2,3,6,12),2))</f>
        <v/>
      </c>
    </row>
    <row r="6" ht="20" customHeight="1" spans="1:8" x14ac:dyDescent="0.25">
      <c r="A6" s="10"/>
      <c r="B6" s="10"/>
      <c r="C6" s="16"/>
      <c r="D6" s="10"/>
      <c r="E6" s="10"/>
      <c r="F6" s="10"/>
      <c r="G6" s="10"/>
      <c r="H6" s="17" t="str">
        <f>IF(OR($B6="",$C6=""),"",ROUND($C6/CHOOSE(MATCH($E6,{"Mensuelle","Tous les 2 mois","Trimestrielle","Semestrielle","Annuelle"},0),1,2,3,6,12),2))</f>
        <v/>
      </c>
    </row>
    <row r="7" ht="20" customHeight="1" spans="1:8" x14ac:dyDescent="0.25">
      <c r="A7" s="10"/>
      <c r="B7" s="10"/>
      <c r="C7" s="16"/>
      <c r="D7" s="10"/>
      <c r="E7" s="10"/>
      <c r="F7" s="10"/>
      <c r="G7" s="10"/>
      <c r="H7" s="17" t="str">
        <f>IF(OR($B7="",$C7=""),"",ROUND($C7/CHOOSE(MATCH($E7,{"Mensuelle","Tous les 2 mois","Trimestrielle","Semestrielle","Annuelle"},0),1,2,3,6,12),2))</f>
        <v/>
      </c>
    </row>
    <row r="8" ht="20" customHeight="1" spans="1:8" x14ac:dyDescent="0.25">
      <c r="A8" s="10"/>
      <c r="B8" s="10"/>
      <c r="C8" s="16"/>
      <c r="D8" s="10"/>
      <c r="E8" s="10"/>
      <c r="F8" s="10"/>
      <c r="G8" s="10"/>
      <c r="H8" s="17" t="str">
        <f>IF(OR($B8="",$C8=""),"",ROUND($C8/CHOOSE(MATCH($E8,{"Mensuelle","Tous les 2 mois","Trimestrielle","Semestrielle","Annuelle"},0),1,2,3,6,12),2))</f>
        <v/>
      </c>
    </row>
    <row r="9" ht="20" customHeight="1" spans="1:8" x14ac:dyDescent="0.25">
      <c r="A9" s="10"/>
      <c r="B9" s="10"/>
      <c r="C9" s="16"/>
      <c r="D9" s="10"/>
      <c r="E9" s="10"/>
      <c r="F9" s="10"/>
      <c r="G9" s="10"/>
      <c r="H9" s="17" t="str">
        <f>IF(OR($B9="",$C9=""),"",ROUND($C9/CHOOSE(MATCH($E9,{"Mensuelle","Tous les 2 mois","Trimestrielle","Semestrielle","Annuelle"},0),1,2,3,6,12),2))</f>
        <v/>
      </c>
    </row>
    <row r="10" ht="20" customHeight="1" spans="1:8" x14ac:dyDescent="0.25">
      <c r="A10" s="10"/>
      <c r="B10" s="10"/>
      <c r="C10" s="16"/>
      <c r="D10" s="10"/>
      <c r="E10" s="10"/>
      <c r="F10" s="10"/>
      <c r="G10" s="10"/>
      <c r="H10" s="17" t="str">
        <f>IF(OR($B10="",$C10=""),"",ROUND($C10/CHOOSE(MATCH($E10,{"Mensuelle","Tous les 2 mois","Trimestrielle","Semestrielle","Annuelle"},0),1,2,3,6,12),2))</f>
        <v/>
      </c>
    </row>
    <row r="11" ht="20" customHeight="1" spans="1:8" x14ac:dyDescent="0.25">
      <c r="A11" s="10"/>
      <c r="B11" s="10"/>
      <c r="C11" s="16"/>
      <c r="D11" s="10"/>
      <c r="E11" s="10"/>
      <c r="F11" s="10"/>
      <c r="G11" s="10"/>
      <c r="H11" s="17" t="str">
        <f>IF(OR($B11="",$C11=""),"",ROUND($C11/CHOOSE(MATCH($E11,{"Mensuelle","Tous les 2 mois","Trimestrielle","Semestrielle","Annuelle"},0),1,2,3,6,12),2))</f>
        <v/>
      </c>
    </row>
    <row r="12" ht="20" customHeight="1" spans="1:8" x14ac:dyDescent="0.25">
      <c r="A12" s="10"/>
      <c r="B12" s="10"/>
      <c r="C12" s="16"/>
      <c r="D12" s="10"/>
      <c r="E12" s="10"/>
      <c r="F12" s="10"/>
      <c r="G12" s="10"/>
      <c r="H12" s="17" t="str">
        <f>IF(OR($B12="",$C12=""),"",ROUND($C12/CHOOSE(MATCH($E12,{"Mensuelle","Tous les 2 mois","Trimestrielle","Semestrielle","Annuelle"},0),1,2,3,6,12),2))</f>
        <v/>
      </c>
    </row>
    <row r="13" ht="20" customHeight="1" spans="1:8" x14ac:dyDescent="0.25">
      <c r="A13" s="10"/>
      <c r="B13" s="10"/>
      <c r="C13" s="16"/>
      <c r="D13" s="10"/>
      <c r="E13" s="10"/>
      <c r="F13" s="10"/>
      <c r="G13" s="10"/>
      <c r="H13" s="17" t="str">
        <f>IF(OR($B13="",$C13=""),"",ROUND($C13/CHOOSE(MATCH($E13,{"Mensuelle","Tous les 2 mois","Trimestrielle","Semestrielle","Annuelle"},0),1,2,3,6,12),2))</f>
        <v/>
      </c>
    </row>
    <row r="14" ht="20" customHeight="1" spans="1:8" x14ac:dyDescent="0.25">
      <c r="A14" s="10"/>
      <c r="B14" s="10"/>
      <c r="C14" s="16"/>
      <c r="D14" s="10"/>
      <c r="E14" s="10"/>
      <c r="F14" s="10"/>
      <c r="G14" s="10"/>
      <c r="H14" s="17" t="str">
        <f>IF(OR($B14="",$C14=""),"",ROUND($C14/CHOOSE(MATCH($E14,{"Mensuelle","Tous les 2 mois","Trimestrielle","Semestrielle","Annuelle"},0),1,2,3,6,12),2))</f>
        <v/>
      </c>
    </row>
    <row r="15" ht="20" customHeight="1" spans="1:8" x14ac:dyDescent="0.25">
      <c r="A15" s="10"/>
      <c r="B15" s="10"/>
      <c r="C15" s="16"/>
      <c r="D15" s="10"/>
      <c r="E15" s="10"/>
      <c r="F15" s="10"/>
      <c r="G15" s="10"/>
      <c r="H15" s="17" t="str">
        <f>IF(OR($B15="",$C15=""),"",ROUND($C15/CHOOSE(MATCH($E15,{"Mensuelle","Tous les 2 mois","Trimestrielle","Semestrielle","Annuelle"},0),1,2,3,6,12),2))</f>
        <v/>
      </c>
    </row>
    <row r="16" ht="20" customHeight="1" spans="1:8" x14ac:dyDescent="0.25">
      <c r="A16" s="10"/>
      <c r="B16" s="10"/>
      <c r="C16" s="16"/>
      <c r="D16" s="10"/>
      <c r="E16" s="10"/>
      <c r="F16" s="10"/>
      <c r="G16" s="10"/>
      <c r="H16" s="17" t="str">
        <f>IF(OR($B16="",$C16=""),"",ROUND($C16/CHOOSE(MATCH($E16,{"Mensuelle","Tous les 2 mois","Trimestrielle","Semestrielle","Annuelle"},0),1,2,3,6,12),2))</f>
        <v/>
      </c>
    </row>
    <row r="17" ht="20" customHeight="1" spans="1:8" x14ac:dyDescent="0.25">
      <c r="A17" s="10"/>
      <c r="B17" s="10"/>
      <c r="C17" s="16"/>
      <c r="D17" s="10"/>
      <c r="E17" s="10"/>
      <c r="F17" s="10"/>
      <c r="G17" s="10"/>
      <c r="H17" s="17" t="str">
        <f>IF(OR($B17="",$C17=""),"",ROUND($C17/CHOOSE(MATCH($E17,{"Mensuelle","Tous les 2 mois","Trimestrielle","Semestrielle","Annuelle"},0),1,2,3,6,12),2))</f>
        <v/>
      </c>
    </row>
    <row r="18" ht="20" customHeight="1" spans="1:8" x14ac:dyDescent="0.25">
      <c r="A18" s="10"/>
      <c r="B18" s="10"/>
      <c r="C18" s="16"/>
      <c r="D18" s="10"/>
      <c r="E18" s="10"/>
      <c r="F18" s="10"/>
      <c r="G18" s="10"/>
      <c r="H18" s="17" t="str">
        <f>IF(OR($B18="",$C18=""),"",ROUND($C18/CHOOSE(MATCH($E18,{"Mensuelle","Tous les 2 mois","Trimestrielle","Semestrielle","Annuelle"},0),1,2,3,6,12),2))</f>
        <v/>
      </c>
    </row>
    <row r="19" ht="20" customHeight="1" spans="1:8" x14ac:dyDescent="0.25">
      <c r="A19" s="10"/>
      <c r="B19" s="10"/>
      <c r="C19" s="16"/>
      <c r="D19" s="10"/>
      <c r="E19" s="10"/>
      <c r="F19" s="10"/>
      <c r="G19" s="10"/>
      <c r="H19" s="17" t="str">
        <f>IF(OR($B19="",$C19=""),"",ROUND($C19/CHOOSE(MATCH($E19,{"Mensuelle","Tous les 2 mois","Trimestrielle","Semestrielle","Annuelle"},0),1,2,3,6,12),2))</f>
        <v/>
      </c>
    </row>
    <row r="20" ht="20" customHeight="1" spans="1:8" x14ac:dyDescent="0.25">
      <c r="A20" s="10"/>
      <c r="B20" s="10"/>
      <c r="C20" s="16"/>
      <c r="D20" s="10"/>
      <c r="E20" s="10"/>
      <c r="F20" s="10"/>
      <c r="G20" s="10"/>
      <c r="H20" s="17" t="str">
        <f>IF(OR($B20="",$C20=""),"",ROUND($C20/CHOOSE(MATCH($E20,{"Mensuelle","Tous les 2 mois","Trimestrielle","Semestrielle","Annuelle"},0),1,2,3,6,12),2))</f>
        <v/>
      </c>
    </row>
    <row r="21" ht="20" customHeight="1" spans="1:8" x14ac:dyDescent="0.25">
      <c r="A21" s="10"/>
      <c r="B21" s="10"/>
      <c r="C21" s="16"/>
      <c r="D21" s="10"/>
      <c r="E21" s="10"/>
      <c r="F21" s="10"/>
      <c r="G21" s="10"/>
      <c r="H21" s="17" t="str">
        <f>IF(OR($B21="",$C21=""),"",ROUND($C21/CHOOSE(MATCH($E21,{"Mensuelle","Tous les 2 mois","Trimestrielle","Semestrielle","Annuelle"},0),1,2,3,6,12),2))</f>
        <v/>
      </c>
    </row>
    <row r="22" ht="20" customHeight="1" spans="1:8" x14ac:dyDescent="0.25">
      <c r="A22" s="10"/>
      <c r="B22" s="10"/>
      <c r="C22" s="16"/>
      <c r="D22" s="10"/>
      <c r="E22" s="10"/>
      <c r="F22" s="10"/>
      <c r="G22" s="10"/>
      <c r="H22" s="17" t="str">
        <f>IF(OR($B22="",$C22=""),"",ROUND($C22/CHOOSE(MATCH($E22,{"Mensuelle","Tous les 2 mois","Trimestrielle","Semestrielle","Annuelle"},0),1,2,3,6,12),2))</f>
        <v/>
      </c>
    </row>
    <row r="23" ht="20" customHeight="1" spans="1:8" x14ac:dyDescent="0.25">
      <c r="A23" s="10"/>
      <c r="B23" s="10"/>
      <c r="C23" s="16"/>
      <c r="D23" s="10"/>
      <c r="E23" s="10"/>
      <c r="F23" s="10"/>
      <c r="G23" s="10"/>
      <c r="H23" s="17" t="str">
        <f>IF(OR($B23="",$C23=""),"",ROUND($C23/CHOOSE(MATCH($E23,{"Mensuelle","Tous les 2 mois","Trimestrielle","Semestrielle","Annuelle"},0),1,2,3,6,12),2))</f>
        <v/>
      </c>
    </row>
    <row r="24" ht="20" customHeight="1" spans="1:8" x14ac:dyDescent="0.25">
      <c r="A24" s="10"/>
      <c r="B24" s="10"/>
      <c r="C24" s="16"/>
      <c r="D24" s="10"/>
      <c r="E24" s="10"/>
      <c r="F24" s="10"/>
      <c r="G24" s="10"/>
      <c r="H24" s="17" t="str">
        <f>IF(OR($B24="",$C24=""),"",ROUND($C24/CHOOSE(MATCH($E24,{"Mensuelle","Tous les 2 mois","Trimestrielle","Semestrielle","Annuelle"},0),1,2,3,6,12),2))</f>
        <v/>
      </c>
    </row>
    <row r="25" ht="20" customHeight="1" spans="1:8" x14ac:dyDescent="0.25">
      <c r="A25" s="10"/>
      <c r="B25" s="10"/>
      <c r="C25" s="16"/>
      <c r="D25" s="10"/>
      <c r="E25" s="10"/>
      <c r="F25" s="10"/>
      <c r="G25" s="10"/>
      <c r="H25" s="17" t="str">
        <f>IF(OR($B25="",$C25=""),"",ROUND($C25/CHOOSE(MATCH($E25,{"Mensuelle","Tous les 2 mois","Trimestrielle","Semestrielle","Annuelle"},0),1,2,3,6,12),2))</f>
        <v/>
      </c>
    </row>
    <row r="26" ht="20" customHeight="1" spans="1:8" x14ac:dyDescent="0.25">
      <c r="A26" s="10"/>
      <c r="B26" s="10"/>
      <c r="C26" s="16"/>
      <c r="D26" s="10"/>
      <c r="E26" s="10"/>
      <c r="F26" s="10"/>
      <c r="G26" s="10"/>
      <c r="H26" s="17" t="str">
        <f>IF(OR($B26="",$C26=""),"",ROUND($C26/CHOOSE(MATCH($E26,{"Mensuelle","Tous les 2 mois","Trimestrielle","Semestrielle","Annuelle"},0),1,2,3,6,12),2))</f>
        <v/>
      </c>
    </row>
    <row r="27" ht="20" customHeight="1" spans="1:8" x14ac:dyDescent="0.25">
      <c r="A27" s="10"/>
      <c r="B27" s="10"/>
      <c r="C27" s="16"/>
      <c r="D27" s="10"/>
      <c r="E27" s="10"/>
      <c r="F27" s="10"/>
      <c r="G27" s="10"/>
      <c r="H27" s="17" t="str">
        <f>IF(OR($B27="",$C27=""),"",ROUND($C27/CHOOSE(MATCH($E27,{"Mensuelle","Tous les 2 mois","Trimestrielle","Semestrielle","Annuelle"},0),1,2,3,6,12),2))</f>
        <v/>
      </c>
    </row>
    <row r="28" ht="20" customHeight="1" spans="1:8" x14ac:dyDescent="0.25">
      <c r="A28" s="10"/>
      <c r="B28" s="10"/>
      <c r="C28" s="16"/>
      <c r="D28" s="10"/>
      <c r="E28" s="10"/>
      <c r="F28" s="10"/>
      <c r="G28" s="10"/>
      <c r="H28" s="17" t="str">
        <f>IF(OR($B28="",$C28=""),"",ROUND($C28/CHOOSE(MATCH($E28,{"Mensuelle","Tous les 2 mois","Trimestrielle","Semestrielle","Annuelle"},0),1,2,3,6,12),2))</f>
        <v/>
      </c>
    </row>
    <row r="29" ht="20" customHeight="1" spans="1:8" x14ac:dyDescent="0.25">
      <c r="A29" s="10"/>
      <c r="B29" s="10"/>
      <c r="C29" s="16"/>
      <c r="D29" s="10"/>
      <c r="E29" s="10"/>
      <c r="F29" s="10"/>
      <c r="G29" s="10"/>
      <c r="H29" s="17" t="str">
        <f>IF(OR($B29="",$C29=""),"",ROUND($C29/CHOOSE(MATCH($E29,{"Mensuelle","Tous les 2 mois","Trimestrielle","Semestrielle","Annuelle"},0),1,2,3,6,12),2))</f>
        <v/>
      </c>
    </row>
    <row r="30" ht="20" customHeight="1" spans="1:8" x14ac:dyDescent="0.25">
      <c r="A30" s="10"/>
      <c r="B30" s="10"/>
      <c r="C30" s="16"/>
      <c r="D30" s="10"/>
      <c r="E30" s="10"/>
      <c r="F30" s="10"/>
      <c r="G30" s="10"/>
      <c r="H30" s="17" t="str">
        <f>IF(OR($B30="",$C30=""),"",ROUND($C30/CHOOSE(MATCH($E30,{"Mensuelle","Tous les 2 mois","Trimestrielle","Semestrielle","Annuelle"},0),1,2,3,6,12),2))</f>
        <v/>
      </c>
    </row>
    <row r="31" ht="20" customHeight="1" spans="1:8" x14ac:dyDescent="0.25">
      <c r="A31" s="10"/>
      <c r="B31" s="10"/>
      <c r="C31" s="16"/>
      <c r="D31" s="10"/>
      <c r="E31" s="10"/>
      <c r="F31" s="10"/>
      <c r="G31" s="10"/>
      <c r="H31" s="17" t="str">
        <f>IF(OR($B31="",$C31=""),"",ROUND($C31/CHOOSE(MATCH($E31,{"Mensuelle","Tous les 2 mois","Trimestrielle","Semestrielle","Annuelle"},0),1,2,3,6,12),2))</f>
        <v/>
      </c>
    </row>
    <row r="32" ht="20" customHeight="1" spans="1:8" x14ac:dyDescent="0.25">
      <c r="A32" s="10"/>
      <c r="B32" s="10"/>
      <c r="C32" s="16"/>
      <c r="D32" s="10"/>
      <c r="E32" s="10"/>
      <c r="F32" s="10"/>
      <c r="G32" s="10"/>
      <c r="H32" s="17" t="str">
        <f>IF(OR($B32="",$C32=""),"",ROUND($C32/CHOOSE(MATCH($E32,{"Mensuelle","Tous les 2 mois","Trimestrielle","Semestrielle","Annuelle"},0),1,2,3,6,12),2))</f>
        <v/>
      </c>
    </row>
    <row r="33" ht="20" customHeight="1" spans="1:8" x14ac:dyDescent="0.25">
      <c r="A33" s="10"/>
      <c r="B33" s="10"/>
      <c r="C33" s="16"/>
      <c r="D33" s="10"/>
      <c r="E33" s="10"/>
      <c r="F33" s="10"/>
      <c r="G33" s="10"/>
      <c r="H33" s="17" t="str">
        <f>IF(OR($B33="",$C33=""),"",ROUND($C33/CHOOSE(MATCH($E33,{"Mensuelle","Tous les 2 mois","Trimestrielle","Semestrielle","Annuelle"},0),1,2,3,6,12),2))</f>
        <v/>
      </c>
    </row>
    <row r="34" ht="20" customHeight="1" spans="1:8" x14ac:dyDescent="0.25">
      <c r="A34" s="10"/>
      <c r="B34" s="10"/>
      <c r="C34" s="16"/>
      <c r="D34" s="10"/>
      <c r="E34" s="10"/>
      <c r="F34" s="10"/>
      <c r="G34" s="10"/>
      <c r="H34" s="17" t="str">
        <f>IF(OR($B34="",$C34=""),"",ROUND($C34/CHOOSE(MATCH($E34,{"Mensuelle","Tous les 2 mois","Trimestrielle","Semestrielle","Annuelle"},0),1,2,3,6,12),2))</f>
        <v/>
      </c>
    </row>
    <row r="35" ht="20" customHeight="1" spans="1:8" x14ac:dyDescent="0.25">
      <c r="A35" s="10"/>
      <c r="B35" s="10"/>
      <c r="C35" s="16"/>
      <c r="D35" s="10"/>
      <c r="E35" s="10"/>
      <c r="F35" s="10"/>
      <c r="G35" s="10"/>
      <c r="H35" s="17" t="str">
        <f>IF(OR($B35="",$C35=""),"",ROUND($C35/CHOOSE(MATCH($E35,{"Mensuelle","Tous les 2 mois","Trimestrielle","Semestrielle","Annuelle"},0),1,2,3,6,12),2))</f>
        <v/>
      </c>
    </row>
    <row r="36" ht="20" customHeight="1" spans="1:8" x14ac:dyDescent="0.25">
      <c r="A36" s="10"/>
      <c r="B36" s="10"/>
      <c r="C36" s="16"/>
      <c r="D36" s="10"/>
      <c r="E36" s="10"/>
      <c r="F36" s="10"/>
      <c r="G36" s="10"/>
      <c r="H36" s="17" t="str">
        <f>IF(OR($B36="",$C36=""),"",ROUND($C36/CHOOSE(MATCH($E36,{"Mensuelle","Tous les 2 mois","Trimestrielle","Semestrielle","Annuelle"},0),1,2,3,6,12),2))</f>
        <v/>
      </c>
    </row>
    <row r="37" ht="20" customHeight="1" spans="1:8" x14ac:dyDescent="0.25">
      <c r="A37" s="10"/>
      <c r="B37" s="10"/>
      <c r="C37" s="16"/>
      <c r="D37" s="10"/>
      <c r="E37" s="10"/>
      <c r="F37" s="10"/>
      <c r="G37" s="10"/>
      <c r="H37" s="17" t="str">
        <f>IF(OR($B37="",$C37=""),"",ROUND($C37/CHOOSE(MATCH($E37,{"Mensuelle","Tous les 2 mois","Trimestrielle","Semestrielle","Annuelle"},0),1,2,3,6,12),2))</f>
        <v/>
      </c>
    </row>
    <row r="38" ht="20" customHeight="1" spans="1:8" x14ac:dyDescent="0.25">
      <c r="A38" s="10"/>
      <c r="B38" s="10"/>
      <c r="C38" s="16"/>
      <c r="D38" s="10"/>
      <c r="E38" s="10"/>
      <c r="F38" s="10"/>
      <c r="G38" s="10"/>
      <c r="H38" s="17" t="str">
        <f>IF(OR($B38="",$C38=""),"",ROUND($C38/CHOOSE(MATCH($E38,{"Mensuelle","Tous les 2 mois","Trimestrielle","Semestrielle","Annuelle"},0),1,2,3,6,12),2))</f>
        <v/>
      </c>
    </row>
    <row r="39" ht="20" customHeight="1" spans="1:8" x14ac:dyDescent="0.25">
      <c r="A39" s="10"/>
      <c r="B39" s="10"/>
      <c r="C39" s="16"/>
      <c r="D39" s="10"/>
      <c r="E39" s="10"/>
      <c r="F39" s="10"/>
      <c r="G39" s="10"/>
      <c r="H39" s="17" t="str">
        <f>IF(OR($B39="",$C39=""),"",ROUND($C39/CHOOSE(MATCH($E39,{"Mensuelle","Tous les 2 mois","Trimestrielle","Semestrielle","Annuelle"},0),1,2,3,6,12),2))</f>
        <v/>
      </c>
    </row>
    <row r="40" ht="20" customHeight="1" spans="1:8" x14ac:dyDescent="0.25">
      <c r="A40" s="10"/>
      <c r="B40" s="10"/>
      <c r="C40" s="16"/>
      <c r="D40" s="10"/>
      <c r="E40" s="10"/>
      <c r="F40" s="10"/>
      <c r="G40" s="10"/>
      <c r="H40" s="17" t="str">
        <f>IF(OR($B40="",$C40=""),"",ROUND($C40/CHOOSE(MATCH($E40,{"Mensuelle","Tous les 2 mois","Trimestrielle","Semestrielle","Annuelle"},0),1,2,3,6,12),2))</f>
        <v/>
      </c>
    </row>
    <row r="41" ht="20" customHeight="1" spans="1:8" x14ac:dyDescent="0.25">
      <c r="A41" s="10"/>
      <c r="B41" s="10"/>
      <c r="C41" s="16"/>
      <c r="D41" s="10"/>
      <c r="E41" s="10"/>
      <c r="F41" s="10"/>
      <c r="G41" s="10"/>
      <c r="H41" s="17" t="str">
        <f>IF(OR($B41="",$C41=""),"",ROUND($C41/CHOOSE(MATCH($E41,{"Mensuelle","Tous les 2 mois","Trimestrielle","Semestrielle","Annuelle"},0),1,2,3,6,12),2))</f>
        <v/>
      </c>
    </row>
    <row r="42" ht="20" customHeight="1" spans="1:8" x14ac:dyDescent="0.25">
      <c r="A42" s="10"/>
      <c r="B42" s="10"/>
      <c r="C42" s="16"/>
      <c r="D42" s="10"/>
      <c r="E42" s="10"/>
      <c r="F42" s="10"/>
      <c r="G42" s="10"/>
      <c r="H42" s="17" t="str">
        <f>IF(OR($B42="",$C42=""),"",ROUND($C42/CHOOSE(MATCH($E42,{"Mensuelle","Tous les 2 mois","Trimestrielle","Semestrielle","Annuelle"},0),1,2,3,6,12),2))</f>
        <v/>
      </c>
    </row>
    <row r="43" ht="20" customHeight="1" spans="1:8" x14ac:dyDescent="0.25">
      <c r="A43" s="10"/>
      <c r="B43" s="10"/>
      <c r="C43" s="16"/>
      <c r="D43" s="10"/>
      <c r="E43" s="10"/>
      <c r="F43" s="10"/>
      <c r="G43" s="10"/>
      <c r="H43" s="17" t="str">
        <f>IF(OR($B43="",$C43=""),"",ROUND($C43/CHOOSE(MATCH($E43,{"Mensuelle","Tous les 2 mois","Trimestrielle","Semestrielle","Annuelle"},0),1,2,3,6,12),2))</f>
        <v/>
      </c>
    </row>
    <row r="44" ht="20" customHeight="1" spans="1:8" x14ac:dyDescent="0.25">
      <c r="A44" s="10"/>
      <c r="B44" s="10"/>
      <c r="C44" s="16"/>
      <c r="D44" s="10"/>
      <c r="E44" s="10"/>
      <c r="F44" s="10"/>
      <c r="G44" s="10"/>
      <c r="H44" s="17" t="str">
        <f>IF(OR($B44="",$C44=""),"",ROUND($C44/CHOOSE(MATCH($E44,{"Mensuelle","Tous les 2 mois","Trimestrielle","Semestrielle","Annuelle"},0),1,2,3,6,12),2))</f>
        <v/>
      </c>
    </row>
    <row r="45" ht="20" customHeight="1" spans="1:8" x14ac:dyDescent="0.25">
      <c r="A45" s="10"/>
      <c r="B45" s="10"/>
      <c r="C45" s="16"/>
      <c r="D45" s="10"/>
      <c r="E45" s="10"/>
      <c r="F45" s="10"/>
      <c r="G45" s="10"/>
      <c r="H45" s="17" t="str">
        <f>IF(OR($B45="",$C45=""),"",ROUND($C45/CHOOSE(MATCH($E45,{"Mensuelle","Tous les 2 mois","Trimestrielle","Semestrielle","Annuelle"},0),1,2,3,6,12),2))</f>
        <v/>
      </c>
    </row>
    <row r="46" ht="20" customHeight="1" spans="1:8" x14ac:dyDescent="0.25">
      <c r="A46" s="10"/>
      <c r="B46" s="10"/>
      <c r="C46" s="16"/>
      <c r="D46" s="10"/>
      <c r="E46" s="10"/>
      <c r="F46" s="10"/>
      <c r="G46" s="10"/>
      <c r="H46" s="17" t="str">
        <f>IF(OR($B46="",$C46=""),"",ROUND($C46/CHOOSE(MATCH($E46,{"Mensuelle","Tous les 2 mois","Trimestrielle","Semestrielle","Annuelle"},0),1,2,3,6,12),2))</f>
        <v/>
      </c>
    </row>
    <row r="47" ht="20" customHeight="1" spans="1:8" x14ac:dyDescent="0.25">
      <c r="A47" s="10"/>
      <c r="B47" s="10"/>
      <c r="C47" s="16"/>
      <c r="D47" s="10"/>
      <c r="E47" s="10"/>
      <c r="F47" s="10"/>
      <c r="G47" s="10"/>
      <c r="H47" s="17" t="str">
        <f>IF(OR($B47="",$C47=""),"",ROUND($C47/CHOOSE(MATCH($E47,{"Mensuelle","Tous les 2 mois","Trimestrielle","Semestrielle","Annuelle"},0),1,2,3,6,12),2))</f>
        <v/>
      </c>
    </row>
    <row r="48" ht="20" customHeight="1" spans="1:8" x14ac:dyDescent="0.25">
      <c r="A48" s="10"/>
      <c r="B48" s="10"/>
      <c r="C48" s="16"/>
      <c r="D48" s="10"/>
      <c r="E48" s="10"/>
      <c r="F48" s="10"/>
      <c r="G48" s="10"/>
      <c r="H48" s="17" t="str">
        <f>IF(OR($B48="",$C48=""),"",ROUND($C48/CHOOSE(MATCH($E48,{"Mensuelle","Tous les 2 mois","Trimestrielle","Semestrielle","Annuelle"},0),1,2,3,6,12),2))</f>
        <v/>
      </c>
    </row>
    <row r="49" ht="20" customHeight="1" spans="1:8" x14ac:dyDescent="0.25">
      <c r="A49" s="10"/>
      <c r="B49" s="10"/>
      <c r="C49" s="16"/>
      <c r="D49" s="10"/>
      <c r="E49" s="10"/>
      <c r="F49" s="10"/>
      <c r="G49" s="10"/>
      <c r="H49" s="17" t="str">
        <f>IF(OR($B49="",$C49=""),"",ROUND($C49/CHOOSE(MATCH($E49,{"Mensuelle","Tous les 2 mois","Trimestrielle","Semestrielle","Annuelle"},0),1,2,3,6,12),2))</f>
        <v/>
      </c>
    </row>
    <row r="50" ht="20" customHeight="1" spans="1:8" x14ac:dyDescent="0.25">
      <c r="A50" s="10"/>
      <c r="B50" s="10"/>
      <c r="C50" s="16"/>
      <c r="D50" s="10"/>
      <c r="E50" s="10"/>
      <c r="F50" s="10"/>
      <c r="G50" s="10"/>
      <c r="H50" s="17" t="str">
        <f>IF(OR($B50="",$C50=""),"",ROUND($C50/CHOOSE(MATCH($E50,{"Mensuelle","Tous les 2 mois","Trimestrielle","Semestrielle","Annuelle"},0),1,2,3,6,12),2))</f>
        <v/>
      </c>
    </row>
    <row r="51" ht="20" customHeight="1" spans="1:8" x14ac:dyDescent="0.25">
      <c r="A51" s="10"/>
      <c r="B51" s="10"/>
      <c r="C51" s="16"/>
      <c r="D51" s="10"/>
      <c r="E51" s="10"/>
      <c r="F51" s="10"/>
      <c r="G51" s="10"/>
      <c r="H51" s="17" t="str">
        <f>IF(OR($B51="",$C51=""),"",ROUND($C51/CHOOSE(MATCH($E51,{"Mensuelle","Tous les 2 mois","Trimestrielle","Semestrielle","Annuelle"},0),1,2,3,6,12),2))</f>
        <v/>
      </c>
    </row>
    <row r="52" ht="20" customHeight="1" spans="1:8" x14ac:dyDescent="0.25">
      <c r="A52" s="10"/>
      <c r="B52" s="10"/>
      <c r="C52" s="16"/>
      <c r="D52" s="10"/>
      <c r="E52" s="10"/>
      <c r="F52" s="10"/>
      <c r="G52" s="10"/>
      <c r="H52" s="17" t="str">
        <f>IF(OR($B52="",$C52=""),"",ROUND($C52/CHOOSE(MATCH($E52,{"Mensuelle","Tous les 2 mois","Trimestrielle","Semestrielle","Annuelle"},0),1,2,3,6,12),2))</f>
        <v/>
      </c>
    </row>
    <row r="53" ht="20" customHeight="1" spans="1:8" x14ac:dyDescent="0.25">
      <c r="A53" s="10"/>
      <c r="B53" s="10"/>
      <c r="C53" s="16"/>
      <c r="D53" s="10"/>
      <c r="E53" s="10"/>
      <c r="F53" s="10"/>
      <c r="G53" s="10"/>
      <c r="H53" s="17" t="str">
        <f>IF(OR($B53="",$C53=""),"",ROUND($C53/CHOOSE(MATCH($E53,{"Mensuelle","Tous les 2 mois","Trimestrielle","Semestrielle","Annuelle"},0),1,2,3,6,12),2))</f>
        <v/>
      </c>
    </row>
    <row r="54" ht="20" customHeight="1" spans="1:8" x14ac:dyDescent="0.25">
      <c r="A54" s="10"/>
      <c r="B54" s="10"/>
      <c r="C54" s="16"/>
      <c r="D54" s="10"/>
      <c r="E54" s="10"/>
      <c r="F54" s="10"/>
      <c r="G54" s="10"/>
      <c r="H54" s="17" t="str">
        <f>IF(OR($B54="",$C54=""),"",ROUND($C54/CHOOSE(MATCH($E54,{"Mensuelle","Tous les 2 mois","Trimestrielle","Semestrielle","Annuelle"},0),1,2,3,6,12),2))</f>
        <v/>
      </c>
    </row>
    <row r="55" ht="20" customHeight="1" spans="1:8" x14ac:dyDescent="0.25">
      <c r="A55" s="10"/>
      <c r="B55" s="10"/>
      <c r="C55" s="16"/>
      <c r="D55" s="10"/>
      <c r="E55" s="10"/>
      <c r="F55" s="10"/>
      <c r="G55" s="10"/>
      <c r="H55" s="17" t="str">
        <f>IF(OR($B55="",$C55=""),"",ROUND($C55/CHOOSE(MATCH($E55,{"Mensuelle","Tous les 2 mois","Trimestrielle","Semestrielle","Annuelle"},0),1,2,3,6,12),2))</f>
        <v/>
      </c>
    </row>
    <row r="56" ht="20" customHeight="1" spans="1:8" x14ac:dyDescent="0.25">
      <c r="A56" s="10"/>
      <c r="B56" s="10"/>
      <c r="C56" s="16"/>
      <c r="D56" s="10"/>
      <c r="E56" s="10"/>
      <c r="F56" s="10"/>
      <c r="G56" s="10"/>
      <c r="H56" s="17" t="str">
        <f>IF(OR($B56="",$C56=""),"",ROUND($C56/CHOOSE(MATCH($E56,{"Mensuelle","Tous les 2 mois","Trimestrielle","Semestrielle","Annuelle"},0),1,2,3,6,12),2))</f>
        <v/>
      </c>
    </row>
    <row r="57" ht="20" customHeight="1" spans="1:8" x14ac:dyDescent="0.25">
      <c r="A57" s="10"/>
      <c r="B57" s="10"/>
      <c r="C57" s="16"/>
      <c r="D57" s="10"/>
      <c r="E57" s="10"/>
      <c r="F57" s="10"/>
      <c r="G57" s="10"/>
      <c r="H57" s="17" t="str">
        <f>IF(OR($B57="",$C57=""),"",ROUND($C57/CHOOSE(MATCH($E57,{"Mensuelle","Tous les 2 mois","Trimestrielle","Semestrielle","Annuelle"},0),1,2,3,6,12),2))</f>
        <v/>
      </c>
    </row>
    <row r="58" ht="20" customHeight="1" spans="1:8" x14ac:dyDescent="0.25">
      <c r="A58" s="10"/>
      <c r="B58" s="10"/>
      <c r="C58" s="16"/>
      <c r="D58" s="10"/>
      <c r="E58" s="10"/>
      <c r="F58" s="10"/>
      <c r="G58" s="10"/>
      <c r="H58" s="17" t="str">
        <f>IF(OR($B58="",$C58=""),"",ROUND($C58/CHOOSE(MATCH($E58,{"Mensuelle","Tous les 2 mois","Trimestrielle","Semestrielle","Annuelle"},0),1,2,3,6,12),2))</f>
        <v/>
      </c>
    </row>
    <row r="59" ht="20" customHeight="1" spans="1:8" x14ac:dyDescent="0.25">
      <c r="A59" s="10"/>
      <c r="B59" s="10"/>
      <c r="C59" s="16"/>
      <c r="D59" s="10"/>
      <c r="E59" s="10"/>
      <c r="F59" s="10"/>
      <c r="G59" s="10"/>
      <c r="H59" s="17" t="str">
        <f>IF(OR($B59="",$C59=""),"",ROUND($C59/CHOOSE(MATCH($E59,{"Mensuelle","Tous les 2 mois","Trimestrielle","Semestrielle","Annuelle"},0),1,2,3,6,12),2))</f>
        <v/>
      </c>
    </row>
    <row r="60" ht="20" customHeight="1" spans="1:8" x14ac:dyDescent="0.25">
      <c r="A60" s="10"/>
      <c r="B60" s="10"/>
      <c r="C60" s="16"/>
      <c r="D60" s="10"/>
      <c r="E60" s="10"/>
      <c r="F60" s="10"/>
      <c r="G60" s="10"/>
      <c r="H60" s="17" t="str">
        <f>IF(OR($B60="",$C60=""),"",ROUND($C60/CHOOSE(MATCH($E60,{"Mensuelle","Tous les 2 mois","Trimestrielle","Semestrielle","Annuelle"},0),1,2,3,6,12),2))</f>
        <v/>
      </c>
    </row>
    <row r="61" ht="20" customHeight="1" spans="1:8" x14ac:dyDescent="0.25">
      <c r="A61" s="10"/>
      <c r="B61" s="10"/>
      <c r="C61" s="16"/>
      <c r="D61" s="10"/>
      <c r="E61" s="10"/>
      <c r="F61" s="10"/>
      <c r="G61" s="10"/>
      <c r="H61" s="17" t="str">
        <f>IF(OR($B61="",$C61=""),"",ROUND($C61/CHOOSE(MATCH($E61,{"Mensuelle","Tous les 2 mois","Trimestrielle","Semestrielle","Annuelle"},0),1,2,3,6,12),2))</f>
        <v/>
      </c>
    </row>
    <row r="62" ht="20" customHeight="1" spans="1:8" x14ac:dyDescent="0.25">
      <c r="A62" s="10"/>
      <c r="B62" s="10"/>
      <c r="C62" s="16"/>
      <c r="D62" s="10"/>
      <c r="E62" s="10"/>
      <c r="F62" s="10"/>
      <c r="G62" s="10"/>
      <c r="H62" s="17" t="str">
        <f>IF(OR($B62="",$C62=""),"",ROUND($C62/CHOOSE(MATCH($E62,{"Mensuelle","Tous les 2 mois","Trimestrielle","Semestrielle","Annuelle"},0),1,2,3,6,12),2))</f>
        <v/>
      </c>
    </row>
    <row r="63" ht="20" customHeight="1" spans="1:8" x14ac:dyDescent="0.25">
      <c r="A63" s="10"/>
      <c r="B63" s="10"/>
      <c r="C63" s="16"/>
      <c r="D63" s="10"/>
      <c r="E63" s="10"/>
      <c r="F63" s="10"/>
      <c r="G63" s="10"/>
      <c r="H63" s="17" t="str">
        <f>IF(OR($B63="",$C63=""),"",ROUND($C63/CHOOSE(MATCH($E63,{"Mensuelle","Tous les 2 mois","Trimestrielle","Semestrielle","Annuelle"},0),1,2,3,6,12),2))</f>
        <v/>
      </c>
    </row>
    <row r="64" ht="20" customHeight="1" spans="1:8" x14ac:dyDescent="0.25">
      <c r="A64" s="10"/>
      <c r="B64" s="10"/>
      <c r="C64" s="16"/>
      <c r="D64" s="10"/>
      <c r="E64" s="10"/>
      <c r="F64" s="10"/>
      <c r="G64" s="10"/>
      <c r="H64" s="17" t="str">
        <f>IF(OR($B64="",$C64=""),"",ROUND($C64/CHOOSE(MATCH($E64,{"Mensuelle","Tous les 2 mois","Trimestrielle","Semestrielle","Annuelle"},0),1,2,3,6,12),2))</f>
        <v/>
      </c>
    </row>
    <row r="65" ht="20" customHeight="1" spans="1:8" x14ac:dyDescent="0.25">
      <c r="A65" s="10"/>
      <c r="B65" s="10"/>
      <c r="C65" s="16"/>
      <c r="D65" s="10"/>
      <c r="E65" s="10"/>
      <c r="F65" s="10"/>
      <c r="G65" s="10"/>
      <c r="H65" s="17" t="str">
        <f>IF(OR($B65="",$C65=""),"",ROUND($C65/CHOOSE(MATCH($E65,{"Mensuelle","Tous les 2 mois","Trimestrielle","Semestrielle","Annuelle"},0),1,2,3,6,12),2))</f>
        <v/>
      </c>
    </row>
    <row r="66" ht="20" customHeight="1" spans="1:8" x14ac:dyDescent="0.25">
      <c r="A66" s="10"/>
      <c r="B66" s="10"/>
      <c r="C66" s="16"/>
      <c r="D66" s="10"/>
      <c r="E66" s="10"/>
      <c r="F66" s="10"/>
      <c r="G66" s="10"/>
      <c r="H66" s="17" t="str">
        <f>IF(OR($B66="",$C66=""),"",ROUND($C66/CHOOSE(MATCH($E66,{"Mensuelle","Tous les 2 mois","Trimestrielle","Semestrielle","Annuelle"},0),1,2,3,6,12),2))</f>
        <v/>
      </c>
    </row>
    <row r="67" ht="20" customHeight="1" spans="1:8" x14ac:dyDescent="0.25">
      <c r="A67" s="10"/>
      <c r="B67" s="10"/>
      <c r="C67" s="16"/>
      <c r="D67" s="10"/>
      <c r="E67" s="10"/>
      <c r="F67" s="10"/>
      <c r="G67" s="10"/>
      <c r="H67" s="17" t="str">
        <f>IF(OR($B67="",$C67=""),"",ROUND($C67/CHOOSE(MATCH($E67,{"Mensuelle","Tous les 2 mois","Trimestrielle","Semestrielle","Annuelle"},0),1,2,3,6,12),2))</f>
        <v/>
      </c>
    </row>
    <row r="68" ht="20" customHeight="1" spans="1:8" x14ac:dyDescent="0.25">
      <c r="A68" s="10"/>
      <c r="B68" s="10"/>
      <c r="C68" s="16"/>
      <c r="D68" s="10"/>
      <c r="E68" s="10"/>
      <c r="F68" s="10"/>
      <c r="G68" s="10"/>
      <c r="H68" s="17" t="str">
        <f>IF(OR($B68="",$C68=""),"",ROUND($C68/CHOOSE(MATCH($E68,{"Mensuelle","Tous les 2 mois","Trimestrielle","Semestrielle","Annuelle"},0),1,2,3,6,12),2))</f>
        <v/>
      </c>
    </row>
    <row r="69" ht="20" customHeight="1" spans="1:8" x14ac:dyDescent="0.25">
      <c r="A69" s="10"/>
      <c r="B69" s="10"/>
      <c r="C69" s="16"/>
      <c r="D69" s="10"/>
      <c r="E69" s="10"/>
      <c r="F69" s="10"/>
      <c r="G69" s="10"/>
      <c r="H69" s="17" t="str">
        <f>IF(OR($B69="",$C69=""),"",ROUND($C69/CHOOSE(MATCH($E69,{"Mensuelle","Tous les 2 mois","Trimestrielle","Semestrielle","Annuelle"},0),1,2,3,6,12),2))</f>
        <v/>
      </c>
    </row>
    <row r="70" ht="20" customHeight="1" spans="1:8" x14ac:dyDescent="0.25">
      <c r="A70" s="10"/>
      <c r="B70" s="10"/>
      <c r="C70" s="16"/>
      <c r="D70" s="10"/>
      <c r="E70" s="10"/>
      <c r="F70" s="10"/>
      <c r="G70" s="10"/>
      <c r="H70" s="17" t="str">
        <f>IF(OR($B70="",$C70=""),"",ROUND($C70/CHOOSE(MATCH($E70,{"Mensuelle","Tous les 2 mois","Trimestrielle","Semestrielle","Annuelle"},0),1,2,3,6,12),2))</f>
        <v/>
      </c>
    </row>
    <row r="71" ht="20" customHeight="1" spans="1:8" x14ac:dyDescent="0.25">
      <c r="A71" s="10"/>
      <c r="B71" s="10"/>
      <c r="C71" s="16"/>
      <c r="D71" s="10"/>
      <c r="E71" s="10"/>
      <c r="F71" s="10"/>
      <c r="G71" s="10"/>
      <c r="H71" s="17" t="str">
        <f>IF(OR($B71="",$C71=""),"",ROUND($C71/CHOOSE(MATCH($E71,{"Mensuelle","Tous les 2 mois","Trimestrielle","Semestrielle","Annuelle"},0),1,2,3,6,12),2))</f>
        <v/>
      </c>
    </row>
    <row r="72" ht="20" customHeight="1" spans="1:8" x14ac:dyDescent="0.25">
      <c r="A72" s="10"/>
      <c r="B72" s="10"/>
      <c r="C72" s="16"/>
      <c r="D72" s="10"/>
      <c r="E72" s="10"/>
      <c r="F72" s="10"/>
      <c r="G72" s="10"/>
      <c r="H72" s="17" t="str">
        <f>IF(OR($B72="",$C72=""),"",ROUND($C72/CHOOSE(MATCH($E72,{"Mensuelle","Tous les 2 mois","Trimestrielle","Semestrielle","Annuelle"},0),1,2,3,6,12),2))</f>
        <v/>
      </c>
    </row>
    <row r="73" ht="20" customHeight="1" spans="1:8" x14ac:dyDescent="0.25">
      <c r="A73" s="10"/>
      <c r="B73" s="10"/>
      <c r="C73" s="16"/>
      <c r="D73" s="10"/>
      <c r="E73" s="10"/>
      <c r="F73" s="10"/>
      <c r="G73" s="10"/>
      <c r="H73" s="17" t="str">
        <f>IF(OR($B73="",$C73=""),"",ROUND($C73/CHOOSE(MATCH($E73,{"Mensuelle","Tous les 2 mois","Trimestrielle","Semestrielle","Annuelle"},0),1,2,3,6,12),2))</f>
        <v/>
      </c>
    </row>
    <row r="74" ht="20" customHeight="1" spans="1:8" x14ac:dyDescent="0.25">
      <c r="A74" s="10"/>
      <c r="B74" s="10"/>
      <c r="C74" s="16"/>
      <c r="D74" s="10"/>
      <c r="E74" s="10"/>
      <c r="F74" s="10"/>
      <c r="G74" s="10"/>
      <c r="H74" s="17" t="str">
        <f>IF(OR($B74="",$C74=""),"",ROUND($C74/CHOOSE(MATCH($E74,{"Mensuelle","Tous les 2 mois","Trimestrielle","Semestrielle","Annuelle"},0),1,2,3,6,12),2))</f>
        <v/>
      </c>
    </row>
    <row r="75" ht="20" customHeight="1" spans="1:8" x14ac:dyDescent="0.25">
      <c r="A75" s="10"/>
      <c r="B75" s="10"/>
      <c r="C75" s="16"/>
      <c r="D75" s="10"/>
      <c r="E75" s="10"/>
      <c r="F75" s="10"/>
      <c r="G75" s="10"/>
      <c r="H75" s="17" t="str">
        <f>IF(OR($B75="",$C75=""),"",ROUND($C75/CHOOSE(MATCH($E75,{"Mensuelle","Tous les 2 mois","Trimestrielle","Semestrielle","Annuelle"},0),1,2,3,6,12),2))</f>
        <v/>
      </c>
    </row>
    <row r="76" ht="20" customHeight="1" spans="1:8" x14ac:dyDescent="0.25">
      <c r="A76" s="10"/>
      <c r="B76" s="10"/>
      <c r="C76" s="16"/>
      <c r="D76" s="10"/>
      <c r="E76" s="10"/>
      <c r="F76" s="10"/>
      <c r="G76" s="10"/>
      <c r="H76" s="17" t="str">
        <f>IF(OR($B76="",$C76=""),"",ROUND($C76/CHOOSE(MATCH($E76,{"Mensuelle","Tous les 2 mois","Trimestrielle","Semestrielle","Annuelle"},0),1,2,3,6,12),2))</f>
        <v/>
      </c>
    </row>
    <row r="77" ht="20" customHeight="1" spans="1:8" x14ac:dyDescent="0.25">
      <c r="A77" s="10"/>
      <c r="B77" s="10"/>
      <c r="C77" s="16"/>
      <c r="D77" s="10"/>
      <c r="E77" s="10"/>
      <c r="F77" s="10"/>
      <c r="G77" s="10"/>
      <c r="H77" s="17" t="str">
        <f>IF(OR($B77="",$C77=""),"",ROUND($C77/CHOOSE(MATCH($E77,{"Mensuelle","Tous les 2 mois","Trimestrielle","Semestrielle","Annuelle"},0),1,2,3,6,12),2))</f>
        <v/>
      </c>
    </row>
    <row r="78" ht="20" customHeight="1" spans="1:8" x14ac:dyDescent="0.25">
      <c r="A78" s="10"/>
      <c r="B78" s="10"/>
      <c r="C78" s="16"/>
      <c r="D78" s="10"/>
      <c r="E78" s="10"/>
      <c r="F78" s="10"/>
      <c r="G78" s="10"/>
      <c r="H78" s="17" t="str">
        <f>IF(OR($B78="",$C78=""),"",ROUND($C78/CHOOSE(MATCH($E78,{"Mensuelle","Tous les 2 mois","Trimestrielle","Semestrielle","Annuelle"},0),1,2,3,6,12),2))</f>
        <v/>
      </c>
    </row>
    <row r="79" ht="20" customHeight="1" spans="1:8" x14ac:dyDescent="0.25">
      <c r="A79" s="10"/>
      <c r="B79" s="10"/>
      <c r="C79" s="16"/>
      <c r="D79" s="10"/>
      <c r="E79" s="10"/>
      <c r="F79" s="10"/>
      <c r="G79" s="10"/>
      <c r="H79" s="17" t="str">
        <f>IF(OR($B79="",$C79=""),"",ROUND($C79/CHOOSE(MATCH($E79,{"Mensuelle","Tous les 2 mois","Trimestrielle","Semestrielle","Annuelle"},0),1,2,3,6,12),2))</f>
        <v/>
      </c>
    </row>
    <row r="80" ht="20" customHeight="1" spans="1:8" x14ac:dyDescent="0.25">
      <c r="A80" s="10"/>
      <c r="B80" s="10"/>
      <c r="C80" s="16"/>
      <c r="D80" s="10"/>
      <c r="E80" s="10"/>
      <c r="F80" s="10"/>
      <c r="G80" s="10"/>
      <c r="H80" s="17" t="str">
        <f>IF(OR($B80="",$C80=""),"",ROUND($C80/CHOOSE(MATCH($E80,{"Mensuelle","Tous les 2 mois","Trimestrielle","Semestrielle","Annuelle"},0),1,2,3,6,12),2))</f>
        <v/>
      </c>
    </row>
    <row r="81" ht="20" customHeight="1" spans="1:8" x14ac:dyDescent="0.25">
      <c r="A81" s="10"/>
      <c r="B81" s="10"/>
      <c r="C81" s="16"/>
      <c r="D81" s="10"/>
      <c r="E81" s="10"/>
      <c r="F81" s="10"/>
      <c r="G81" s="10"/>
      <c r="H81" s="17" t="str">
        <f>IF(OR($B81="",$C81=""),"",ROUND($C81/CHOOSE(MATCH($E81,{"Mensuelle","Tous les 2 mois","Trimestrielle","Semestrielle","Annuelle"},0),1,2,3,6,12),2))</f>
        <v/>
      </c>
    </row>
    <row r="82" ht="20" customHeight="1" spans="1:8" x14ac:dyDescent="0.25">
      <c r="A82" s="10"/>
      <c r="B82" s="10"/>
      <c r="C82" s="16"/>
      <c r="D82" s="10"/>
      <c r="E82" s="10"/>
      <c r="F82" s="10"/>
      <c r="G82" s="10"/>
      <c r="H82" s="17" t="str">
        <f>IF(OR($B82="",$C82=""),"",ROUND($C82/CHOOSE(MATCH($E82,{"Mensuelle","Tous les 2 mois","Trimestrielle","Semestrielle","Annuelle"},0),1,2,3,6,12),2))</f>
        <v/>
      </c>
    </row>
    <row r="83" ht="20" customHeight="1" spans="1:8" x14ac:dyDescent="0.25">
      <c r="A83" s="10"/>
      <c r="B83" s="10"/>
      <c r="C83" s="16"/>
      <c r="D83" s="10"/>
      <c r="E83" s="10"/>
      <c r="F83" s="10"/>
      <c r="G83" s="10"/>
      <c r="H83" s="17" t="str">
        <f>IF(OR($B83="",$C83=""),"",ROUND($C83/CHOOSE(MATCH($E83,{"Mensuelle","Tous les 2 mois","Trimestrielle","Semestrielle","Annuelle"},0),1,2,3,6,12),2))</f>
        <v/>
      </c>
    </row>
    <row r="84" ht="20" customHeight="1" spans="1:8" x14ac:dyDescent="0.25">
      <c r="A84" s="10"/>
      <c r="B84" s="10"/>
      <c r="C84" s="16"/>
      <c r="D84" s="10"/>
      <c r="E84" s="10"/>
      <c r="F84" s="10"/>
      <c r="G84" s="10"/>
      <c r="H84" s="17" t="str">
        <f>IF(OR($B84="",$C84=""),"",ROUND($C84/CHOOSE(MATCH($E84,{"Mensuelle","Tous les 2 mois","Trimestrielle","Semestrielle","Annuelle"},0),1,2,3,6,12),2))</f>
        <v/>
      </c>
    </row>
    <row r="85" ht="20" customHeight="1" spans="1:8" x14ac:dyDescent="0.25">
      <c r="A85" s="10"/>
      <c r="B85" s="10"/>
      <c r="C85" s="16"/>
      <c r="D85" s="10"/>
      <c r="E85" s="10"/>
      <c r="F85" s="10"/>
      <c r="G85" s="10"/>
      <c r="H85" s="17" t="str">
        <f>IF(OR($B85="",$C85=""),"",ROUND($C85/CHOOSE(MATCH($E85,{"Mensuelle","Tous les 2 mois","Trimestrielle","Semestrielle","Annuelle"},0),1,2,3,6,12),2))</f>
        <v/>
      </c>
    </row>
    <row r="86" ht="20" customHeight="1" spans="1:8" x14ac:dyDescent="0.25">
      <c r="A86" s="10"/>
      <c r="B86" s="10"/>
      <c r="C86" s="16"/>
      <c r="D86" s="10"/>
      <c r="E86" s="10"/>
      <c r="F86" s="10"/>
      <c r="G86" s="10"/>
      <c r="H86" s="17" t="str">
        <f>IF(OR($B86="",$C86=""),"",ROUND($C86/CHOOSE(MATCH($E86,{"Mensuelle","Tous les 2 mois","Trimestrielle","Semestrielle","Annuelle"},0),1,2,3,6,12),2))</f>
        <v/>
      </c>
    </row>
    <row r="87" ht="20" customHeight="1" spans="1:8" x14ac:dyDescent="0.25">
      <c r="A87" s="10"/>
      <c r="B87" s="10"/>
      <c r="C87" s="16"/>
      <c r="D87" s="10"/>
      <c r="E87" s="10"/>
      <c r="F87" s="10"/>
      <c r="G87" s="10"/>
      <c r="H87" s="17" t="str">
        <f>IF(OR($B87="",$C87=""),"",ROUND($C87/CHOOSE(MATCH($E87,{"Mensuelle","Tous les 2 mois","Trimestrielle","Semestrielle","Annuelle"},0),1,2,3,6,12),2))</f>
        <v/>
      </c>
    </row>
    <row r="88" ht="20" customHeight="1" spans="1:8" x14ac:dyDescent="0.25">
      <c r="A88" s="10"/>
      <c r="B88" s="10"/>
      <c r="C88" s="16"/>
      <c r="D88" s="10"/>
      <c r="E88" s="10"/>
      <c r="F88" s="10"/>
      <c r="G88" s="10"/>
      <c r="H88" s="17" t="str">
        <f>IF(OR($B88="",$C88=""),"",ROUND($C88/CHOOSE(MATCH($E88,{"Mensuelle","Tous les 2 mois","Trimestrielle","Semestrielle","Annuelle"},0),1,2,3,6,12),2))</f>
        <v/>
      </c>
    </row>
    <row r="89" ht="20" customHeight="1" spans="1:8" x14ac:dyDescent="0.25">
      <c r="A89" s="10"/>
      <c r="B89" s="10"/>
      <c r="C89" s="16"/>
      <c r="D89" s="10"/>
      <c r="E89" s="10"/>
      <c r="F89" s="10"/>
      <c r="G89" s="10"/>
      <c r="H89" s="17" t="str">
        <f>IF(OR($B89="",$C89=""),"",ROUND($C89/CHOOSE(MATCH($E89,{"Mensuelle","Tous les 2 mois","Trimestrielle","Semestrielle","Annuelle"},0),1,2,3,6,12),2))</f>
        <v/>
      </c>
    </row>
    <row r="90" ht="20" customHeight="1" spans="1:8" x14ac:dyDescent="0.25">
      <c r="A90" s="10"/>
      <c r="B90" s="10"/>
      <c r="C90" s="16"/>
      <c r="D90" s="10"/>
      <c r="E90" s="10"/>
      <c r="F90" s="10"/>
      <c r="G90" s="10"/>
      <c r="H90" s="17" t="str">
        <f>IF(OR($B90="",$C90=""),"",ROUND($C90/CHOOSE(MATCH($E90,{"Mensuelle","Tous les 2 mois","Trimestrielle","Semestrielle","Annuelle"},0),1,2,3,6,12),2))</f>
        <v/>
      </c>
    </row>
    <row r="91" ht="20" customHeight="1" spans="1:8" x14ac:dyDescent="0.25">
      <c r="A91" s="10"/>
      <c r="B91" s="10"/>
      <c r="C91" s="16"/>
      <c r="D91" s="10"/>
      <c r="E91" s="10"/>
      <c r="F91" s="10"/>
      <c r="G91" s="10"/>
      <c r="H91" s="17" t="str">
        <f>IF(OR($B91="",$C91=""),"",ROUND($C91/CHOOSE(MATCH($E91,{"Mensuelle","Tous les 2 mois","Trimestrielle","Semestrielle","Annuelle"},0),1,2,3,6,12),2))</f>
        <v/>
      </c>
    </row>
    <row r="92" ht="20" customHeight="1" spans="1:8" x14ac:dyDescent="0.25">
      <c r="A92" s="10"/>
      <c r="B92" s="10"/>
      <c r="C92" s="16"/>
      <c r="D92" s="10"/>
      <c r="E92" s="10"/>
      <c r="F92" s="10"/>
      <c r="G92" s="10"/>
      <c r="H92" s="17" t="str">
        <f>IF(OR($B92="",$C92=""),"",ROUND($C92/CHOOSE(MATCH($E92,{"Mensuelle","Tous les 2 mois","Trimestrielle","Semestrielle","Annuelle"},0),1,2,3,6,12),2))</f>
        <v/>
      </c>
    </row>
    <row r="93" ht="20" customHeight="1" spans="1:8" x14ac:dyDescent="0.25">
      <c r="A93" s="10"/>
      <c r="B93" s="10"/>
      <c r="C93" s="16"/>
      <c r="D93" s="10"/>
      <c r="E93" s="10"/>
      <c r="F93" s="10"/>
      <c r="G93" s="10"/>
      <c r="H93" s="17" t="str">
        <f>IF(OR($B93="",$C93=""),"",ROUND($C93/CHOOSE(MATCH($E93,{"Mensuelle","Tous les 2 mois","Trimestrielle","Semestrielle","Annuelle"},0),1,2,3,6,12),2))</f>
        <v/>
      </c>
    </row>
    <row r="94" ht="20" customHeight="1" spans="1:8" x14ac:dyDescent="0.25">
      <c r="A94" s="10"/>
      <c r="B94" s="10"/>
      <c r="C94" s="16"/>
      <c r="D94" s="10"/>
      <c r="E94" s="10"/>
      <c r="F94" s="10"/>
      <c r="G94" s="10"/>
      <c r="H94" s="17" t="str">
        <f>IF(OR($B94="",$C94=""),"",ROUND($C94/CHOOSE(MATCH($E94,{"Mensuelle","Tous les 2 mois","Trimestrielle","Semestrielle","Annuelle"},0),1,2,3,6,12),2))</f>
        <v/>
      </c>
    </row>
    <row r="95" ht="20" customHeight="1" spans="1:8" x14ac:dyDescent="0.25">
      <c r="A95" s="10"/>
      <c r="B95" s="10"/>
      <c r="C95" s="16"/>
      <c r="D95" s="10"/>
      <c r="E95" s="10"/>
      <c r="F95" s="10"/>
      <c r="G95" s="10"/>
      <c r="H95" s="17" t="str">
        <f>IF(OR($B95="",$C95=""),"",ROUND($C95/CHOOSE(MATCH($E95,{"Mensuelle","Tous les 2 mois","Trimestrielle","Semestrielle","Annuelle"},0),1,2,3,6,12),2))</f>
        <v/>
      </c>
    </row>
    <row r="96" ht="20" customHeight="1" spans="1:8" x14ac:dyDescent="0.25">
      <c r="A96" s="10"/>
      <c r="B96" s="10"/>
      <c r="C96" s="16"/>
      <c r="D96" s="10"/>
      <c r="E96" s="10"/>
      <c r="F96" s="10"/>
      <c r="G96" s="10"/>
      <c r="H96" s="17" t="str">
        <f>IF(OR($B96="",$C96=""),"",ROUND($C96/CHOOSE(MATCH($E96,{"Mensuelle","Tous les 2 mois","Trimestrielle","Semestrielle","Annuelle"},0),1,2,3,6,12),2))</f>
        <v/>
      </c>
    </row>
    <row r="97" ht="20" customHeight="1" spans="1:8" x14ac:dyDescent="0.25">
      <c r="A97" s="10"/>
      <c r="B97" s="10"/>
      <c r="C97" s="16"/>
      <c r="D97" s="10"/>
      <c r="E97" s="10"/>
      <c r="F97" s="10"/>
      <c r="G97" s="10"/>
      <c r="H97" s="17" t="str">
        <f>IF(OR($B97="",$C97=""),"",ROUND($C97/CHOOSE(MATCH($E97,{"Mensuelle","Tous les 2 mois","Trimestrielle","Semestrielle","Annuelle"},0),1,2,3,6,12),2))</f>
        <v/>
      </c>
    </row>
    <row r="98" ht="20" customHeight="1" spans="1:8" x14ac:dyDescent="0.25">
      <c r="A98" s="10"/>
      <c r="B98" s="10"/>
      <c r="C98" s="16"/>
      <c r="D98" s="10"/>
      <c r="E98" s="10"/>
      <c r="F98" s="10"/>
      <c r="G98" s="10"/>
      <c r="H98" s="17" t="str">
        <f>IF(OR($B98="",$C98=""),"",ROUND($C98/CHOOSE(MATCH($E98,{"Mensuelle","Tous les 2 mois","Trimestrielle","Semestrielle","Annuelle"},0),1,2,3,6,12),2))</f>
        <v/>
      </c>
    </row>
    <row r="99" ht="20" customHeight="1" spans="1:8" x14ac:dyDescent="0.25">
      <c r="A99" s="10"/>
      <c r="B99" s="10"/>
      <c r="C99" s="16"/>
      <c r="D99" s="10"/>
      <c r="E99" s="10"/>
      <c r="F99" s="10"/>
      <c r="G99" s="10"/>
      <c r="H99" s="17" t="str">
        <f>IF(OR($B99="",$C99=""),"",ROUND($C99/CHOOSE(MATCH($E99,{"Mensuelle","Tous les 2 mois","Trimestrielle","Semestrielle","Annuelle"},0),1,2,3,6,12),2))</f>
        <v/>
      </c>
    </row>
    <row r="100" ht="20" customHeight="1" spans="1:8" x14ac:dyDescent="0.25">
      <c r="A100" s="10"/>
      <c r="B100" s="10"/>
      <c r="C100" s="16"/>
      <c r="D100" s="10"/>
      <c r="E100" s="10"/>
      <c r="F100" s="10"/>
      <c r="G100" s="10"/>
      <c r="H100" s="17" t="str">
        <f>IF(OR($B100="",$C100=""),"",ROUND($C100/CHOOSE(MATCH($E100,{"Mensuelle","Tous les 2 mois","Trimestrielle","Semestrielle","Annuelle"},0),1,2,3,6,12),2))</f>
        <v/>
      </c>
    </row>
    <row r="101" ht="20" customHeight="1" spans="1:8" x14ac:dyDescent="0.25">
      <c r="A101" s="10"/>
      <c r="B101" s="10"/>
      <c r="C101" s="16"/>
      <c r="D101" s="10"/>
      <c r="E101" s="10"/>
      <c r="F101" s="10"/>
      <c r="G101" s="10"/>
      <c r="H101" s="17" t="str">
        <f>IF(OR($B101="",$C101=""),"",ROUND($C101/CHOOSE(MATCH($E101,{"Mensuelle","Tous les 2 mois","Trimestrielle","Semestrielle","Annuelle"},0),1,2,3,6,12),2))</f>
        <v/>
      </c>
    </row>
    <row r="102" ht="20" customHeight="1" spans="1:8" x14ac:dyDescent="0.25">
      <c r="A102" s="10"/>
      <c r="B102" s="10"/>
      <c r="C102" s="16"/>
      <c r="D102" s="10"/>
      <c r="E102" s="10"/>
      <c r="F102" s="10"/>
      <c r="G102" s="10"/>
      <c r="H102" s="17" t="str">
        <f>IF(OR($B102="",$C102=""),"",ROUND($C102/CHOOSE(MATCH($E102,{"Mensuelle","Tous les 2 mois","Trimestrielle","Semestrielle","Annuelle"},0),1,2,3,6,12),2))</f>
        <v/>
      </c>
    </row>
    <row r="103" ht="20" customHeight="1" spans="1:8" x14ac:dyDescent="0.25">
      <c r="A103" s="10"/>
      <c r="B103" s="10"/>
      <c r="C103" s="16"/>
      <c r="D103" s="10"/>
      <c r="E103" s="10"/>
      <c r="F103" s="10"/>
      <c r="G103" s="10"/>
      <c r="H103" s="17" t="str">
        <f>IF(OR($B103="",$C103=""),"",ROUND($C103/CHOOSE(MATCH($E103,{"Mensuelle","Tous les 2 mois","Trimestrielle","Semestrielle","Annuelle"},0),1,2,3,6,12),2))</f>
        <v/>
      </c>
    </row>
    <row r="104" ht="20" customHeight="1" spans="1:8" x14ac:dyDescent="0.25">
      <c r="A104" s="10"/>
      <c r="B104" s="10"/>
      <c r="C104" s="16"/>
      <c r="D104" s="10"/>
      <c r="E104" s="10"/>
      <c r="F104" s="10"/>
      <c r="G104" s="10"/>
      <c r="H104" s="17" t="str">
        <f>IF(OR($B104="",$C104=""),"",ROUND($C104/CHOOSE(MATCH($E104,{"Mensuelle","Tous les 2 mois","Trimestrielle","Semestrielle","Annuelle"},0),1,2,3,6,12),2))</f>
        <v/>
      </c>
    </row>
    <row r="105" ht="20" customHeight="1" spans="1:8" x14ac:dyDescent="0.25">
      <c r="A105" s="10"/>
      <c r="B105" s="10"/>
      <c r="C105" s="16"/>
      <c r="D105" s="10"/>
      <c r="E105" s="10"/>
      <c r="F105" s="10"/>
      <c r="G105" s="10"/>
      <c r="H105" s="17" t="str">
        <f>IF(OR($B105="",$C105=""),"",ROUND($C105/CHOOSE(MATCH($E105,{"Mensuelle","Tous les 2 mois","Trimestrielle","Semestrielle","Annuelle"},0),1,2,3,6,12),2))</f>
        <v/>
      </c>
    </row>
    <row r="106" ht="20" customHeight="1" spans="1:8" x14ac:dyDescent="0.25">
      <c r="A106" s="10"/>
      <c r="B106" s="10"/>
      <c r="C106" s="16"/>
      <c r="D106" s="10"/>
      <c r="E106" s="10"/>
      <c r="F106" s="10"/>
      <c r="G106" s="10"/>
      <c r="H106" s="17" t="str">
        <f>IF(OR($B106="",$C106=""),"",ROUND($C106/CHOOSE(MATCH($E106,{"Mensuelle","Tous les 2 mois","Trimestrielle","Semestrielle","Annuelle"},0),1,2,3,6,12),2))</f>
        <v/>
      </c>
    </row>
    <row r="107" ht="20" customHeight="1" spans="1:8" x14ac:dyDescent="0.25">
      <c r="A107" s="10"/>
      <c r="B107" s="10"/>
      <c r="C107" s="16"/>
      <c r="D107" s="10"/>
      <c r="E107" s="10"/>
      <c r="F107" s="10"/>
      <c r="G107" s="10"/>
      <c r="H107" s="17" t="str">
        <f>IF(OR($B107="",$C107=""),"",ROUND($C107/CHOOSE(MATCH($E107,{"Mensuelle","Tous les 2 mois","Trimestrielle","Semestrielle","Annuelle"},0),1,2,3,6,12),2))</f>
        <v/>
      </c>
    </row>
    <row r="108" ht="20" customHeight="1" spans="1:8" x14ac:dyDescent="0.25">
      <c r="A108" s="10"/>
      <c r="B108" s="10"/>
      <c r="C108" s="16"/>
      <c r="D108" s="10"/>
      <c r="E108" s="10"/>
      <c r="F108" s="10"/>
      <c r="G108" s="10"/>
      <c r="H108" s="17" t="str">
        <f>IF(OR($B108="",$C108=""),"",ROUND($C108/CHOOSE(MATCH($E108,{"Mensuelle","Tous les 2 mois","Trimestrielle","Semestrielle","Annuelle"},0),1,2,3,6,12),2))</f>
        <v/>
      </c>
    </row>
    <row r="109" ht="20" customHeight="1" spans="1:8" x14ac:dyDescent="0.25">
      <c r="A109" s="10"/>
      <c r="B109" s="10"/>
      <c r="C109" s="16"/>
      <c r="D109" s="10"/>
      <c r="E109" s="10"/>
      <c r="F109" s="10"/>
      <c r="G109" s="10"/>
      <c r="H109" s="17" t="str">
        <f>IF(OR($B109="",$C109=""),"",ROUND($C109/CHOOSE(MATCH($E109,{"Mensuelle","Tous les 2 mois","Trimestrielle","Semestrielle","Annuelle"},0),1,2,3,6,12),2))</f>
        <v/>
      </c>
    </row>
    <row r="110" ht="20" customHeight="1" spans="1:8" x14ac:dyDescent="0.25">
      <c r="A110" s="10"/>
      <c r="B110" s="10"/>
      <c r="C110" s="16"/>
      <c r="D110" s="10"/>
      <c r="E110" s="10"/>
      <c r="F110" s="10"/>
      <c r="G110" s="10"/>
      <c r="H110" s="17" t="str">
        <f>IF(OR($B110="",$C110=""),"",ROUND($C110/CHOOSE(MATCH($E110,{"Mensuelle","Tous les 2 mois","Trimestrielle","Semestrielle","Annuelle"},0),1,2,3,6,12),2))</f>
        <v/>
      </c>
    </row>
    <row r="111" ht="20" customHeight="1" spans="1:8" x14ac:dyDescent="0.25">
      <c r="A111" s="10"/>
      <c r="B111" s="10"/>
      <c r="C111" s="16"/>
      <c r="D111" s="10"/>
      <c r="E111" s="10"/>
      <c r="F111" s="10"/>
      <c r="G111" s="10"/>
      <c r="H111" s="17" t="str">
        <f>IF(OR($B111="",$C111=""),"",ROUND($C111/CHOOSE(MATCH($E111,{"Mensuelle","Tous les 2 mois","Trimestrielle","Semestrielle","Annuelle"},0),1,2,3,6,12),2))</f>
        <v/>
      </c>
    </row>
    <row r="112" ht="20" customHeight="1" spans="1:8" x14ac:dyDescent="0.25">
      <c r="A112" s="10"/>
      <c r="B112" s="10"/>
      <c r="C112" s="16"/>
      <c r="D112" s="10"/>
      <c r="E112" s="10"/>
      <c r="F112" s="10"/>
      <c r="G112" s="10"/>
      <c r="H112" s="17" t="str">
        <f>IF(OR($B112="",$C112=""),"",ROUND($C112/CHOOSE(MATCH($E112,{"Mensuelle","Tous les 2 mois","Trimestrielle","Semestrielle","Annuelle"},0),1,2,3,6,12),2))</f>
        <v/>
      </c>
    </row>
    <row r="113" ht="20" customHeight="1" spans="1:8" x14ac:dyDescent="0.25">
      <c r="A113" s="10"/>
      <c r="B113" s="10"/>
      <c r="C113" s="16"/>
      <c r="D113" s="10"/>
      <c r="E113" s="10"/>
      <c r="F113" s="10"/>
      <c r="G113" s="10"/>
      <c r="H113" s="17" t="str">
        <f>IF(OR($B113="",$C113=""),"",ROUND($C113/CHOOSE(MATCH($E113,{"Mensuelle","Tous les 2 mois","Trimestrielle","Semestrielle","Annuelle"},0),1,2,3,6,12),2))</f>
        <v/>
      </c>
    </row>
    <row r="114" ht="20" customHeight="1" spans="1:8" x14ac:dyDescent="0.25">
      <c r="A114" s="10"/>
      <c r="B114" s="10"/>
      <c r="C114" s="16"/>
      <c r="D114" s="10"/>
      <c r="E114" s="10"/>
      <c r="F114" s="10"/>
      <c r="G114" s="10"/>
      <c r="H114" s="17" t="str">
        <f>IF(OR($B114="",$C114=""),"",ROUND($C114/CHOOSE(MATCH($E114,{"Mensuelle","Tous les 2 mois","Trimestrielle","Semestrielle","Annuelle"},0),1,2,3,6,12),2))</f>
        <v/>
      </c>
    </row>
    <row r="115" ht="20" customHeight="1" spans="1:8" x14ac:dyDescent="0.25">
      <c r="A115" s="10"/>
      <c r="B115" s="10"/>
      <c r="C115" s="16"/>
      <c r="D115" s="10"/>
      <c r="E115" s="10"/>
      <c r="F115" s="10"/>
      <c r="G115" s="10"/>
      <c r="H115" s="17" t="str">
        <f>IF(OR($B115="",$C115=""),"",ROUND($C115/CHOOSE(MATCH($E115,{"Mensuelle","Tous les 2 mois","Trimestrielle","Semestrielle","Annuelle"},0),1,2,3,6,12),2))</f>
        <v/>
      </c>
    </row>
    <row r="116" ht="20" customHeight="1" spans="1:8" x14ac:dyDescent="0.25">
      <c r="A116" s="10"/>
      <c r="B116" s="10"/>
      <c r="C116" s="16"/>
      <c r="D116" s="10"/>
      <c r="E116" s="10"/>
      <c r="F116" s="10"/>
      <c r="G116" s="10"/>
      <c r="H116" s="17" t="str">
        <f>IF(OR($B116="",$C116=""),"",ROUND($C116/CHOOSE(MATCH($E116,{"Mensuelle","Tous les 2 mois","Trimestrielle","Semestrielle","Annuelle"},0),1,2,3,6,12),2))</f>
        <v/>
      </c>
    </row>
    <row r="117" ht="20" customHeight="1" spans="1:8" x14ac:dyDescent="0.25">
      <c r="A117" s="10"/>
      <c r="B117" s="10"/>
      <c r="C117" s="16"/>
      <c r="D117" s="10"/>
      <c r="E117" s="10"/>
      <c r="F117" s="10"/>
      <c r="G117" s="10"/>
      <c r="H117" s="17" t="str">
        <f>IF(OR($B117="",$C117=""),"",ROUND($C117/CHOOSE(MATCH($E117,{"Mensuelle","Tous les 2 mois","Trimestrielle","Semestrielle","Annuelle"},0),1,2,3,6,12),2))</f>
        <v/>
      </c>
    </row>
    <row r="118" ht="20" customHeight="1" spans="1:8" x14ac:dyDescent="0.25">
      <c r="A118" s="10"/>
      <c r="B118" s="10"/>
      <c r="C118" s="16"/>
      <c r="D118" s="10"/>
      <c r="E118" s="10"/>
      <c r="F118" s="10"/>
      <c r="G118" s="10"/>
      <c r="H118" s="17" t="str">
        <f>IF(OR($B118="",$C118=""),"",ROUND($C118/CHOOSE(MATCH($E118,{"Mensuelle","Tous les 2 mois","Trimestrielle","Semestrielle","Annuelle"},0),1,2,3,6,12),2))</f>
        <v/>
      </c>
    </row>
    <row r="119" ht="20" customHeight="1" spans="1:8" x14ac:dyDescent="0.25">
      <c r="A119" s="10"/>
      <c r="B119" s="10"/>
      <c r="C119" s="16"/>
      <c r="D119" s="10"/>
      <c r="E119" s="10"/>
      <c r="F119" s="10"/>
      <c r="G119" s="10"/>
      <c r="H119" s="17" t="str">
        <f>IF(OR($B119="",$C119=""),"",ROUND($C119/CHOOSE(MATCH($E119,{"Mensuelle","Tous les 2 mois","Trimestrielle","Semestrielle","Annuelle"},0),1,2,3,6,12),2))</f>
        <v/>
      </c>
    </row>
    <row r="120" ht="20" customHeight="1" spans="1:8" x14ac:dyDescent="0.25">
      <c r="A120" s="10"/>
      <c r="B120" s="10"/>
      <c r="C120" s="16"/>
      <c r="D120" s="10"/>
      <c r="E120" s="10"/>
      <c r="F120" s="10"/>
      <c r="G120" s="10"/>
      <c r="H120" s="17" t="str">
        <f>IF(OR($B120="",$C120=""),"",ROUND($C120/CHOOSE(MATCH($E120,{"Mensuelle","Tous les 2 mois","Trimestrielle","Semestrielle","Annuelle"},0),1,2,3,6,12),2))</f>
        <v/>
      </c>
    </row>
    <row r="121" ht="20" customHeight="1" spans="1:8" x14ac:dyDescent="0.25">
      <c r="A121" s="10"/>
      <c r="B121" s="10"/>
      <c r="C121" s="16"/>
      <c r="D121" s="10"/>
      <c r="E121" s="10"/>
      <c r="F121" s="10"/>
      <c r="G121" s="10"/>
      <c r="H121" s="17" t="str">
        <f>IF(OR($B121="",$C121=""),"",ROUND($C121/CHOOSE(MATCH($E121,{"Mensuelle","Tous les 2 mois","Trimestrielle","Semestrielle","Annuelle"},0),1,2,3,6,12),2))</f>
        <v/>
      </c>
    </row>
    <row r="122" ht="20" customHeight="1" spans="1:8" x14ac:dyDescent="0.25">
      <c r="A122" s="10"/>
      <c r="B122" s="10"/>
      <c r="C122" s="16"/>
      <c r="D122" s="10"/>
      <c r="E122" s="10"/>
      <c r="F122" s="10"/>
      <c r="G122" s="10"/>
      <c r="H122" s="17" t="str">
        <f>IF(OR($B122="",$C122=""),"",ROUND($C122/CHOOSE(MATCH($E122,{"Mensuelle","Tous les 2 mois","Trimestrielle","Semestrielle","Annuelle"},0),1,2,3,6,12),2))</f>
        <v/>
      </c>
    </row>
    <row r="123" ht="20" customHeight="1" spans="1:8" x14ac:dyDescent="0.25">
      <c r="A123" s="10"/>
      <c r="B123" s="10"/>
      <c r="C123" s="16"/>
      <c r="D123" s="10"/>
      <c r="E123" s="10"/>
      <c r="F123" s="10"/>
      <c r="G123" s="10"/>
      <c r="H123" s="17" t="str">
        <f>IF(OR($B123="",$C123=""),"",ROUND($C123/CHOOSE(MATCH($E123,{"Mensuelle","Tous les 2 mois","Trimestrielle","Semestrielle","Annuelle"},0),1,2,3,6,12),2))</f>
        <v/>
      </c>
    </row>
    <row r="124" ht="20" customHeight="1" spans="1:8" x14ac:dyDescent="0.25">
      <c r="A124" s="10"/>
      <c r="B124" s="10"/>
      <c r="C124" s="16"/>
      <c r="D124" s="10"/>
      <c r="E124" s="10"/>
      <c r="F124" s="10"/>
      <c r="G124" s="10"/>
      <c r="H124" s="17" t="str">
        <f>IF(OR($B124="",$C124=""),"",ROUND($C124/CHOOSE(MATCH($E124,{"Mensuelle","Tous les 2 mois","Trimestrielle","Semestrielle","Annuelle"},0),1,2,3,6,12),2))</f>
        <v/>
      </c>
    </row>
    <row r="125" ht="20" customHeight="1" spans="1:8" x14ac:dyDescent="0.25">
      <c r="A125" s="10"/>
      <c r="B125" s="10"/>
      <c r="C125" s="16"/>
      <c r="D125" s="10"/>
      <c r="E125" s="10"/>
      <c r="F125" s="10"/>
      <c r="G125" s="10"/>
      <c r="H125" s="17" t="str">
        <f>IF(OR($B125="",$C125=""),"",ROUND($C125/CHOOSE(MATCH($E125,{"Mensuelle","Tous les 2 mois","Trimestrielle","Semestrielle","Annuelle"},0),1,2,3,6,12),2))</f>
        <v/>
      </c>
    </row>
    <row r="126" ht="20" customHeight="1" spans="1:8" x14ac:dyDescent="0.25">
      <c r="A126" s="10"/>
      <c r="B126" s="10"/>
      <c r="C126" s="16"/>
      <c r="D126" s="10"/>
      <c r="E126" s="10"/>
      <c r="F126" s="10"/>
      <c r="G126" s="10"/>
      <c r="H126" s="17" t="str">
        <f>IF(OR($B126="",$C126=""),"",ROUND($C126/CHOOSE(MATCH($E126,{"Mensuelle","Tous les 2 mois","Trimestrielle","Semestrielle","Annuelle"},0),1,2,3,6,12),2))</f>
        <v/>
      </c>
    </row>
    <row r="127" ht="20" customHeight="1" spans="1:8" x14ac:dyDescent="0.25">
      <c r="A127" s="10"/>
      <c r="B127" s="10"/>
      <c r="C127" s="16"/>
      <c r="D127" s="10"/>
      <c r="E127" s="10"/>
      <c r="F127" s="10"/>
      <c r="G127" s="10"/>
      <c r="H127" s="17" t="str">
        <f>IF(OR($B127="",$C127=""),"",ROUND($C127/CHOOSE(MATCH($E127,{"Mensuelle","Tous les 2 mois","Trimestrielle","Semestrielle","Annuelle"},0),1,2,3,6,12),2))</f>
        <v/>
      </c>
    </row>
    <row r="128" ht="20" customHeight="1" spans="1:8" x14ac:dyDescent="0.25">
      <c r="A128" s="10"/>
      <c r="B128" s="10"/>
      <c r="C128" s="16"/>
      <c r="D128" s="10"/>
      <c r="E128" s="10"/>
      <c r="F128" s="10"/>
      <c r="G128" s="10"/>
      <c r="H128" s="17" t="str">
        <f>IF(OR($B128="",$C128=""),"",ROUND($C128/CHOOSE(MATCH($E128,{"Mensuelle","Tous les 2 mois","Trimestrielle","Semestrielle","Annuelle"},0),1,2,3,6,12),2))</f>
        <v/>
      </c>
    </row>
    <row r="129" ht="20" customHeight="1" spans="1:8" x14ac:dyDescent="0.25">
      <c r="A129" s="10"/>
      <c r="B129" s="10"/>
      <c r="C129" s="16"/>
      <c r="D129" s="10"/>
      <c r="E129" s="10"/>
      <c r="F129" s="10"/>
      <c r="G129" s="10"/>
      <c r="H129" s="17" t="str">
        <f>IF(OR($B129="",$C129=""),"",ROUND($C129/CHOOSE(MATCH($E129,{"Mensuelle","Tous les 2 mois","Trimestrielle","Semestrielle","Annuelle"},0),1,2,3,6,12),2))</f>
        <v/>
      </c>
    </row>
    <row r="130" ht="20" customHeight="1" spans="1:8" x14ac:dyDescent="0.25">
      <c r="A130" s="10"/>
      <c r="B130" s="10"/>
      <c r="C130" s="16"/>
      <c r="D130" s="10"/>
      <c r="E130" s="10"/>
      <c r="F130" s="10"/>
      <c r="G130" s="10"/>
      <c r="H130" s="17" t="str">
        <f>IF(OR($B130="",$C130=""),"",ROUND($C130/CHOOSE(MATCH($E130,{"Mensuelle","Tous les 2 mois","Trimestrielle","Semestrielle","Annuelle"},0),1,2,3,6,12),2))</f>
        <v/>
      </c>
    </row>
    <row r="131" ht="20" customHeight="1" spans="1:8" x14ac:dyDescent="0.25">
      <c r="A131" s="10"/>
      <c r="B131" s="10"/>
      <c r="C131" s="16"/>
      <c r="D131" s="10"/>
      <c r="E131" s="10"/>
      <c r="F131" s="10"/>
      <c r="G131" s="10"/>
      <c r="H131" s="17" t="str">
        <f>IF(OR($B131="",$C131=""),"",ROUND($C131/CHOOSE(MATCH($E131,{"Mensuelle","Tous les 2 mois","Trimestrielle","Semestrielle","Annuelle"},0),1,2,3,6,12),2))</f>
        <v/>
      </c>
    </row>
    <row r="132" ht="20" customHeight="1" spans="1:8" x14ac:dyDescent="0.25">
      <c r="A132" s="10"/>
      <c r="B132" s="10"/>
      <c r="C132" s="16"/>
      <c r="D132" s="10"/>
      <c r="E132" s="10"/>
      <c r="F132" s="10"/>
      <c r="G132" s="10"/>
      <c r="H132" s="17" t="str">
        <f>IF(OR($B132="",$C132=""),"",ROUND($C132/CHOOSE(MATCH($E132,{"Mensuelle","Tous les 2 mois","Trimestrielle","Semestrielle","Annuelle"},0),1,2,3,6,12),2))</f>
        <v/>
      </c>
    </row>
    <row r="133" ht="20" customHeight="1" spans="1:8" x14ac:dyDescent="0.25">
      <c r="A133" s="10"/>
      <c r="B133" s="10"/>
      <c r="C133" s="16"/>
      <c r="D133" s="10"/>
      <c r="E133" s="10"/>
      <c r="F133" s="10"/>
      <c r="G133" s="10"/>
      <c r="H133" s="17" t="str">
        <f>IF(OR($B133="",$C133=""),"",ROUND($C133/CHOOSE(MATCH($E133,{"Mensuelle","Tous les 2 mois","Trimestrielle","Semestrielle","Annuelle"},0),1,2,3,6,12),2))</f>
        <v/>
      </c>
    </row>
    <row r="134" ht="20" customHeight="1" spans="1:8" x14ac:dyDescent="0.25">
      <c r="A134" s="10"/>
      <c r="B134" s="10"/>
      <c r="C134" s="16"/>
      <c r="D134" s="10"/>
      <c r="E134" s="10"/>
      <c r="F134" s="10"/>
      <c r="G134" s="10"/>
      <c r="H134" s="17" t="str">
        <f>IF(OR($B134="",$C134=""),"",ROUND($C134/CHOOSE(MATCH($E134,{"Mensuelle","Tous les 2 mois","Trimestrielle","Semestrielle","Annuelle"},0),1,2,3,6,12),2))</f>
        <v/>
      </c>
    </row>
    <row r="135" ht="20" customHeight="1" spans="1:8" x14ac:dyDescent="0.25">
      <c r="A135" s="10"/>
      <c r="B135" s="10"/>
      <c r="C135" s="16"/>
      <c r="D135" s="10"/>
      <c r="E135" s="10"/>
      <c r="F135" s="10"/>
      <c r="G135" s="10"/>
      <c r="H135" s="17" t="str">
        <f>IF(OR($B135="",$C135=""),"",ROUND($C135/CHOOSE(MATCH($E135,{"Mensuelle","Tous les 2 mois","Trimestrielle","Semestrielle","Annuelle"},0),1,2,3,6,12),2))</f>
        <v/>
      </c>
    </row>
    <row r="136" ht="20" customHeight="1" spans="1:8" x14ac:dyDescent="0.25">
      <c r="A136" s="10"/>
      <c r="B136" s="10"/>
      <c r="C136" s="16"/>
      <c r="D136" s="10"/>
      <c r="E136" s="10"/>
      <c r="F136" s="10"/>
      <c r="G136" s="10"/>
      <c r="H136" s="17" t="str">
        <f>IF(OR($B136="",$C136=""),"",ROUND($C136/CHOOSE(MATCH($E136,{"Mensuelle","Tous les 2 mois","Trimestrielle","Semestrielle","Annuelle"},0),1,2,3,6,12),2))</f>
        <v/>
      </c>
    </row>
    <row r="137" ht="20" customHeight="1" spans="1:8" x14ac:dyDescent="0.25">
      <c r="A137" s="10"/>
      <c r="B137" s="10"/>
      <c r="C137" s="16"/>
      <c r="D137" s="10"/>
      <c r="E137" s="10"/>
      <c r="F137" s="10"/>
      <c r="G137" s="10"/>
      <c r="H137" s="17" t="str">
        <f>IF(OR($B137="",$C137=""),"",ROUND($C137/CHOOSE(MATCH($E137,{"Mensuelle","Tous les 2 mois","Trimestrielle","Semestrielle","Annuelle"},0),1,2,3,6,12),2))</f>
        <v/>
      </c>
    </row>
    <row r="138" ht="20" customHeight="1" spans="1:8" x14ac:dyDescent="0.25">
      <c r="A138" s="10"/>
      <c r="B138" s="10"/>
      <c r="C138" s="16"/>
      <c r="D138" s="10"/>
      <c r="E138" s="10"/>
      <c r="F138" s="10"/>
      <c r="G138" s="10"/>
      <c r="H138" s="17" t="str">
        <f>IF(OR($B138="",$C138=""),"",ROUND($C138/CHOOSE(MATCH($E138,{"Mensuelle","Tous les 2 mois","Trimestrielle","Semestrielle","Annuelle"},0),1,2,3,6,12),2))</f>
        <v/>
      </c>
    </row>
    <row r="139" ht="20" customHeight="1" spans="1:8" x14ac:dyDescent="0.25">
      <c r="A139" s="10"/>
      <c r="B139" s="10"/>
      <c r="C139" s="16"/>
      <c r="D139" s="10"/>
      <c r="E139" s="10"/>
      <c r="F139" s="10"/>
      <c r="G139" s="10"/>
      <c r="H139" s="17" t="str">
        <f>IF(OR($B139="",$C139=""),"",ROUND($C139/CHOOSE(MATCH($E139,{"Mensuelle","Tous les 2 mois","Trimestrielle","Semestrielle","Annuelle"},0),1,2,3,6,12),2))</f>
        <v/>
      </c>
    </row>
    <row r="140" ht="20" customHeight="1" spans="1:8" x14ac:dyDescent="0.25">
      <c r="A140" s="10"/>
      <c r="B140" s="10"/>
      <c r="C140" s="16"/>
      <c r="D140" s="10"/>
      <c r="E140" s="10"/>
      <c r="F140" s="10"/>
      <c r="G140" s="10"/>
      <c r="H140" s="17" t="str">
        <f>IF(OR($B140="",$C140=""),"",ROUND($C140/CHOOSE(MATCH($E140,{"Mensuelle","Tous les 2 mois","Trimestrielle","Semestrielle","Annuelle"},0),1,2,3,6,12),2))</f>
        <v/>
      </c>
    </row>
    <row r="141" ht="20" customHeight="1" spans="1:8" x14ac:dyDescent="0.25">
      <c r="A141" s="10"/>
      <c r="B141" s="10"/>
      <c r="C141" s="16"/>
      <c r="D141" s="10"/>
      <c r="E141" s="10"/>
      <c r="F141" s="10"/>
      <c r="G141" s="10"/>
      <c r="H141" s="17" t="str">
        <f>IF(OR($B141="",$C141=""),"",ROUND($C141/CHOOSE(MATCH($E141,{"Mensuelle","Tous les 2 mois","Trimestrielle","Semestrielle","Annuelle"},0),1,2,3,6,12),2))</f>
        <v/>
      </c>
    </row>
    <row r="142" ht="20" customHeight="1" spans="1:8" x14ac:dyDescent="0.25">
      <c r="A142" s="10"/>
      <c r="B142" s="10"/>
      <c r="C142" s="16"/>
      <c r="D142" s="10"/>
      <c r="E142" s="10"/>
      <c r="F142" s="10"/>
      <c r="G142" s="10"/>
      <c r="H142" s="17" t="str">
        <f>IF(OR($B142="",$C142=""),"",ROUND($C142/CHOOSE(MATCH($E142,{"Mensuelle","Tous les 2 mois","Trimestrielle","Semestrielle","Annuelle"},0),1,2,3,6,12),2))</f>
        <v/>
      </c>
    </row>
    <row r="143" ht="20" customHeight="1" spans="1:8" x14ac:dyDescent="0.25">
      <c r="A143" s="10"/>
      <c r="B143" s="10"/>
      <c r="C143" s="16"/>
      <c r="D143" s="10"/>
      <c r="E143" s="10"/>
      <c r="F143" s="10"/>
      <c r="G143" s="10"/>
      <c r="H143" s="17" t="str">
        <f>IF(OR($B143="",$C143=""),"",ROUND($C143/CHOOSE(MATCH($E143,{"Mensuelle","Tous les 2 mois","Trimestrielle","Semestrielle","Annuelle"},0),1,2,3,6,12),2))</f>
        <v/>
      </c>
    </row>
    <row r="144" ht="20" customHeight="1" spans="1:8" x14ac:dyDescent="0.25">
      <c r="A144" s="10"/>
      <c r="B144" s="10"/>
      <c r="C144" s="16"/>
      <c r="D144" s="10"/>
      <c r="E144" s="10"/>
      <c r="F144" s="10"/>
      <c r="G144" s="10"/>
      <c r="H144" s="17" t="str">
        <f>IF(OR($B144="",$C144=""),"",ROUND($C144/CHOOSE(MATCH($E144,{"Mensuelle","Tous les 2 mois","Trimestrielle","Semestrielle","Annuelle"},0),1,2,3,6,12),2))</f>
        <v/>
      </c>
    </row>
    <row r="145" ht="20" customHeight="1" spans="1:8" x14ac:dyDescent="0.25">
      <c r="A145" s="10"/>
      <c r="B145" s="10"/>
      <c r="C145" s="16"/>
      <c r="D145" s="10"/>
      <c r="E145" s="10"/>
      <c r="F145" s="10"/>
      <c r="G145" s="10"/>
      <c r="H145" s="17" t="str">
        <f>IF(OR($B145="",$C145=""),"",ROUND($C145/CHOOSE(MATCH($E145,{"Mensuelle","Tous les 2 mois","Trimestrielle","Semestrielle","Annuelle"},0),1,2,3,6,12),2))</f>
        <v/>
      </c>
    </row>
    <row r="146" ht="20" customHeight="1" spans="1:8" x14ac:dyDescent="0.25">
      <c r="A146" s="10"/>
      <c r="B146" s="10"/>
      <c r="C146" s="16"/>
      <c r="D146" s="10"/>
      <c r="E146" s="10"/>
      <c r="F146" s="10"/>
      <c r="G146" s="10"/>
      <c r="H146" s="17" t="str">
        <f>IF(OR($B146="",$C146=""),"",ROUND($C146/CHOOSE(MATCH($E146,{"Mensuelle","Tous les 2 mois","Trimestrielle","Semestrielle","Annuelle"},0),1,2,3,6,12),2))</f>
        <v/>
      </c>
    </row>
    <row r="147" ht="20" customHeight="1" spans="1:8" x14ac:dyDescent="0.25">
      <c r="A147" s="10"/>
      <c r="B147" s="10"/>
      <c r="C147" s="16"/>
      <c r="D147" s="10"/>
      <c r="E147" s="10"/>
      <c r="F147" s="10"/>
      <c r="G147" s="10"/>
      <c r="H147" s="17" t="str">
        <f>IF(OR($B147="",$C147=""),"",ROUND($C147/CHOOSE(MATCH($E147,{"Mensuelle","Tous les 2 mois","Trimestrielle","Semestrielle","Annuelle"},0),1,2,3,6,12),2))</f>
        <v/>
      </c>
    </row>
    <row r="148" ht="20" customHeight="1" spans="1:8" x14ac:dyDescent="0.25">
      <c r="A148" s="10"/>
      <c r="B148" s="10"/>
      <c r="C148" s="16"/>
      <c r="D148" s="10"/>
      <c r="E148" s="10"/>
      <c r="F148" s="10"/>
      <c r="G148" s="10"/>
      <c r="H148" s="17" t="str">
        <f>IF(OR($B148="",$C148=""),"",ROUND($C148/CHOOSE(MATCH($E148,{"Mensuelle","Tous les 2 mois","Trimestrielle","Semestrielle","Annuelle"},0),1,2,3,6,12),2))</f>
        <v/>
      </c>
    </row>
    <row r="149" ht="20" customHeight="1" spans="1:8" x14ac:dyDescent="0.25">
      <c r="A149" s="10"/>
      <c r="B149" s="10"/>
      <c r="C149" s="16"/>
      <c r="D149" s="10"/>
      <c r="E149" s="10"/>
      <c r="F149" s="10"/>
      <c r="G149" s="10"/>
      <c r="H149" s="17" t="str">
        <f>IF(OR($B149="",$C149=""),"",ROUND($C149/CHOOSE(MATCH($E149,{"Mensuelle","Tous les 2 mois","Trimestrielle","Semestrielle","Annuelle"},0),1,2,3,6,12),2))</f>
        <v/>
      </c>
    </row>
    <row r="150" ht="20" customHeight="1" spans="1:8" x14ac:dyDescent="0.25">
      <c r="A150" s="10"/>
      <c r="B150" s="10"/>
      <c r="C150" s="16"/>
      <c r="D150" s="10"/>
      <c r="E150" s="10"/>
      <c r="F150" s="10"/>
      <c r="G150" s="10"/>
      <c r="H150" s="17" t="str">
        <f>IF(OR($B150="",$C150=""),"",ROUND($C150/CHOOSE(MATCH($E150,{"Mensuelle","Tous les 2 mois","Trimestrielle","Semestrielle","Annuelle"},0),1,2,3,6,12),2))</f>
        <v/>
      </c>
    </row>
    <row r="151" ht="20" customHeight="1" spans="1:8" x14ac:dyDescent="0.25">
      <c r="A151" s="10"/>
      <c r="B151" s="10"/>
      <c r="C151" s="16"/>
      <c r="D151" s="10"/>
      <c r="E151" s="10"/>
      <c r="F151" s="10"/>
      <c r="G151" s="10"/>
      <c r="H151" s="17" t="str">
        <f>IF(OR($B151="",$C151=""),"",ROUND($C151/CHOOSE(MATCH($E151,{"Mensuelle","Tous les 2 mois","Trimestrielle","Semestrielle","Annuelle"},0),1,2,3,6,12),2))</f>
        <v/>
      </c>
    </row>
    <row r="152" ht="20" customHeight="1" spans="1:8" x14ac:dyDescent="0.25">
      <c r="A152" s="10"/>
      <c r="B152" s="10"/>
      <c r="C152" s="16"/>
      <c r="D152" s="10"/>
      <c r="E152" s="10"/>
      <c r="F152" s="10"/>
      <c r="G152" s="10"/>
      <c r="H152" s="17" t="str">
        <f>IF(OR($B152="",$C152=""),"",ROUND($C152/CHOOSE(MATCH($E152,{"Mensuelle","Tous les 2 mois","Trimestrielle","Semestrielle","Annuelle"},0),1,2,3,6,12),2))</f>
        <v/>
      </c>
    </row>
    <row r="153" ht="20" customHeight="1" spans="1:8" x14ac:dyDescent="0.25">
      <c r="A153" s="10"/>
      <c r="B153" s="10"/>
      <c r="C153" s="16"/>
      <c r="D153" s="10"/>
      <c r="E153" s="10"/>
      <c r="F153" s="10"/>
      <c r="G153" s="10"/>
      <c r="H153" s="17" t="str">
        <f>IF(OR($B153="",$C153=""),"",ROUND($C153/CHOOSE(MATCH($E153,{"Mensuelle","Tous les 2 mois","Trimestrielle","Semestrielle","Annuelle"},0),1,2,3,6,12),2))</f>
        <v/>
      </c>
    </row>
    <row r="154" ht="20" customHeight="1" spans="1:8" x14ac:dyDescent="0.25">
      <c r="A154" s="10"/>
      <c r="B154" s="10"/>
      <c r="C154" s="16"/>
      <c r="D154" s="10"/>
      <c r="E154" s="10"/>
      <c r="F154" s="10"/>
      <c r="G154" s="10"/>
      <c r="H154" s="17" t="str">
        <f>IF(OR($B154="",$C154=""),"",ROUND($C154/CHOOSE(MATCH($E154,{"Mensuelle","Tous les 2 mois","Trimestrielle","Semestrielle","Annuelle"},0),1,2,3,6,12),2))</f>
        <v/>
      </c>
    </row>
    <row r="155" ht="20" customHeight="1" spans="1:8" x14ac:dyDescent="0.25">
      <c r="A155" s="10"/>
      <c r="B155" s="10"/>
      <c r="C155" s="16"/>
      <c r="D155" s="10"/>
      <c r="E155" s="10"/>
      <c r="F155" s="10"/>
      <c r="G155" s="10"/>
      <c r="H155" s="17" t="str">
        <f>IF(OR($B155="",$C155=""),"",ROUND($C155/CHOOSE(MATCH($E155,{"Mensuelle","Tous les 2 mois","Trimestrielle","Semestrielle","Annuelle"},0),1,2,3,6,12),2))</f>
        <v/>
      </c>
    </row>
    <row r="156" ht="20" customHeight="1" spans="1:8" x14ac:dyDescent="0.25">
      <c r="A156" s="10"/>
      <c r="B156" s="10"/>
      <c r="C156" s="16"/>
      <c r="D156" s="10"/>
      <c r="E156" s="10"/>
      <c r="F156" s="10"/>
      <c r="G156" s="10"/>
      <c r="H156" s="17" t="str">
        <f>IF(OR($B156="",$C156=""),"",ROUND($C156/CHOOSE(MATCH($E156,{"Mensuelle","Tous les 2 mois","Trimestrielle","Semestrielle","Annuelle"},0),1,2,3,6,12),2))</f>
        <v/>
      </c>
    </row>
    <row r="157" ht="20" customHeight="1" spans="1:8" x14ac:dyDescent="0.25">
      <c r="A157" s="10"/>
      <c r="B157" s="10"/>
      <c r="C157" s="16"/>
      <c r="D157" s="10"/>
      <c r="E157" s="10"/>
      <c r="F157" s="10"/>
      <c r="G157" s="10"/>
      <c r="H157" s="17" t="str">
        <f>IF(OR($B157="",$C157=""),"",ROUND($C157/CHOOSE(MATCH($E157,{"Mensuelle","Tous les 2 mois","Trimestrielle","Semestrielle","Annuelle"},0),1,2,3,6,12),2))</f>
        <v/>
      </c>
    </row>
    <row r="158" ht="20" customHeight="1" spans="1:8" x14ac:dyDescent="0.25">
      <c r="A158" s="10"/>
      <c r="B158" s="10"/>
      <c r="C158" s="16"/>
      <c r="D158" s="10"/>
      <c r="E158" s="10"/>
      <c r="F158" s="10"/>
      <c r="G158" s="10"/>
      <c r="H158" s="17" t="str">
        <f>IF(OR($B158="",$C158=""),"",ROUND($C158/CHOOSE(MATCH($E158,{"Mensuelle","Tous les 2 mois","Trimestrielle","Semestrielle","Annuelle"},0),1,2,3,6,12),2))</f>
        <v/>
      </c>
    </row>
    <row r="159" ht="20" customHeight="1" spans="1:8" x14ac:dyDescent="0.25">
      <c r="A159" s="10"/>
      <c r="B159" s="10"/>
      <c r="C159" s="16"/>
      <c r="D159" s="10"/>
      <c r="E159" s="10"/>
      <c r="F159" s="10"/>
      <c r="G159" s="10"/>
      <c r="H159" s="17" t="str">
        <f>IF(OR($B159="",$C159=""),"",ROUND($C159/CHOOSE(MATCH($E159,{"Mensuelle","Tous les 2 mois","Trimestrielle","Semestrielle","Annuelle"},0),1,2,3,6,12),2))</f>
        <v/>
      </c>
    </row>
    <row r="160" ht="20" customHeight="1" spans="1:8" x14ac:dyDescent="0.25">
      <c r="A160" s="10"/>
      <c r="B160" s="10"/>
      <c r="C160" s="16"/>
      <c r="D160" s="10"/>
      <c r="E160" s="10"/>
      <c r="F160" s="10"/>
      <c r="G160" s="10"/>
      <c r="H160" s="17" t="str">
        <f>IF(OR($B160="",$C160=""),"",ROUND($C160/CHOOSE(MATCH($E160,{"Mensuelle","Tous les 2 mois","Trimestrielle","Semestrielle","Annuelle"},0),1,2,3,6,12),2))</f>
        <v/>
      </c>
    </row>
    <row r="161" ht="20" customHeight="1" spans="1:8" x14ac:dyDescent="0.25">
      <c r="A161" s="10"/>
      <c r="B161" s="10"/>
      <c r="C161" s="16"/>
      <c r="D161" s="10"/>
      <c r="E161" s="10"/>
      <c r="F161" s="10"/>
      <c r="G161" s="10"/>
      <c r="H161" s="17" t="str">
        <f>IF(OR($B161="",$C161=""),"",ROUND($C161/CHOOSE(MATCH($E161,{"Mensuelle","Tous les 2 mois","Trimestrielle","Semestrielle","Annuelle"},0),1,2,3,6,12),2))</f>
        <v/>
      </c>
    </row>
    <row r="162" ht="20" customHeight="1" spans="1:8" x14ac:dyDescent="0.25">
      <c r="A162" s="10"/>
      <c r="B162" s="10"/>
      <c r="C162" s="16"/>
      <c r="D162" s="10"/>
      <c r="E162" s="10"/>
      <c r="F162" s="10"/>
      <c r="G162" s="10"/>
      <c r="H162" s="17" t="str">
        <f>IF(OR($B162="",$C162=""),"",ROUND($C162/CHOOSE(MATCH($E162,{"Mensuelle","Tous les 2 mois","Trimestrielle","Semestrielle","Annuelle"},0),1,2,3,6,12),2))</f>
        <v/>
      </c>
    </row>
    <row r="163" ht="20" customHeight="1" spans="1:8" x14ac:dyDescent="0.25">
      <c r="A163" s="10"/>
      <c r="B163" s="10"/>
      <c r="C163" s="16"/>
      <c r="D163" s="10"/>
      <c r="E163" s="10"/>
      <c r="F163" s="10"/>
      <c r="G163" s="10"/>
      <c r="H163" s="17" t="str">
        <f>IF(OR($B163="",$C163=""),"",ROUND($C163/CHOOSE(MATCH($E163,{"Mensuelle","Tous les 2 mois","Trimestrielle","Semestrielle","Annuelle"},0),1,2,3,6,12),2))</f>
        <v/>
      </c>
    </row>
    <row r="164" ht="20" customHeight="1" spans="1:8" x14ac:dyDescent="0.25">
      <c r="A164" s="10"/>
      <c r="B164" s="10"/>
      <c r="C164" s="16"/>
      <c r="D164" s="10"/>
      <c r="E164" s="10"/>
      <c r="F164" s="10"/>
      <c r="G164" s="10"/>
      <c r="H164" s="17" t="str">
        <f>IF(OR($B164="",$C164=""),"",ROUND($C164/CHOOSE(MATCH($E164,{"Mensuelle","Tous les 2 mois","Trimestrielle","Semestrielle","Annuelle"},0),1,2,3,6,12),2))</f>
        <v/>
      </c>
    </row>
    <row r="165" ht="20" customHeight="1" spans="1:8" x14ac:dyDescent="0.25">
      <c r="A165" s="10"/>
      <c r="B165" s="10"/>
      <c r="C165" s="16"/>
      <c r="D165" s="10"/>
      <c r="E165" s="10"/>
      <c r="F165" s="10"/>
      <c r="G165" s="10"/>
      <c r="H165" s="17" t="str">
        <f>IF(OR($B165="",$C165=""),"",ROUND($C165/CHOOSE(MATCH($E165,{"Mensuelle","Tous les 2 mois","Trimestrielle","Semestrielle","Annuelle"},0),1,2,3,6,12),2))</f>
        <v/>
      </c>
    </row>
    <row r="166" ht="20" customHeight="1" spans="1:8" x14ac:dyDescent="0.25">
      <c r="A166" s="10"/>
      <c r="B166" s="10"/>
      <c r="C166" s="16"/>
      <c r="D166" s="10"/>
      <c r="E166" s="10"/>
      <c r="F166" s="10"/>
      <c r="G166" s="10"/>
      <c r="H166" s="17" t="str">
        <f>IF(OR($B166="",$C166=""),"",ROUND($C166/CHOOSE(MATCH($E166,{"Mensuelle","Tous les 2 mois","Trimestrielle","Semestrielle","Annuelle"},0),1,2,3,6,12),2))</f>
        <v/>
      </c>
    </row>
    <row r="167" ht="20" customHeight="1" spans="1:8" x14ac:dyDescent="0.25">
      <c r="A167" s="10"/>
      <c r="B167" s="10"/>
      <c r="C167" s="16"/>
      <c r="D167" s="10"/>
      <c r="E167" s="10"/>
      <c r="F167" s="10"/>
      <c r="G167" s="10"/>
      <c r="H167" s="17" t="str">
        <f>IF(OR($B167="",$C167=""),"",ROUND($C167/CHOOSE(MATCH($E167,{"Mensuelle","Tous les 2 mois","Trimestrielle","Semestrielle","Annuelle"},0),1,2,3,6,12),2))</f>
        <v/>
      </c>
    </row>
    <row r="168" ht="20" customHeight="1" spans="1:8" x14ac:dyDescent="0.25">
      <c r="A168" s="10"/>
      <c r="B168" s="10"/>
      <c r="C168" s="16"/>
      <c r="D168" s="10"/>
      <c r="E168" s="10"/>
      <c r="F168" s="10"/>
      <c r="G168" s="10"/>
      <c r="H168" s="17" t="str">
        <f>IF(OR($B168="",$C168=""),"",ROUND($C168/CHOOSE(MATCH($E168,{"Mensuelle","Tous les 2 mois","Trimestrielle","Semestrielle","Annuelle"},0),1,2,3,6,12),2))</f>
        <v/>
      </c>
    </row>
    <row r="169" ht="20" customHeight="1" spans="1:8" x14ac:dyDescent="0.25">
      <c r="A169" s="10"/>
      <c r="B169" s="10"/>
      <c r="C169" s="16"/>
      <c r="D169" s="10"/>
      <c r="E169" s="10"/>
      <c r="F169" s="10"/>
      <c r="G169" s="10"/>
      <c r="H169" s="17" t="str">
        <f>IF(OR($B169="",$C169=""),"",ROUND($C169/CHOOSE(MATCH($E169,{"Mensuelle","Tous les 2 mois","Trimestrielle","Semestrielle","Annuelle"},0),1,2,3,6,12),2))</f>
        <v/>
      </c>
    </row>
    <row r="170" ht="20" customHeight="1" spans="1:8" x14ac:dyDescent="0.25">
      <c r="A170" s="10"/>
      <c r="B170" s="10"/>
      <c r="C170" s="16"/>
      <c r="D170" s="10"/>
      <c r="E170" s="10"/>
      <c r="F170" s="10"/>
      <c r="G170" s="10"/>
      <c r="H170" s="17" t="str">
        <f>IF(OR($B170="",$C170=""),"",ROUND($C170/CHOOSE(MATCH($E170,{"Mensuelle","Tous les 2 mois","Trimestrielle","Semestrielle","Annuelle"},0),1,2,3,6,12),2))</f>
        <v/>
      </c>
    </row>
    <row r="171" ht="20" customHeight="1" spans="1:8" x14ac:dyDescent="0.25">
      <c r="A171" s="10"/>
      <c r="B171" s="10"/>
      <c r="C171" s="16"/>
      <c r="D171" s="10"/>
      <c r="E171" s="10"/>
      <c r="F171" s="10"/>
      <c r="G171" s="10"/>
      <c r="H171" s="17" t="str">
        <f>IF(OR($B171="",$C171=""),"",ROUND($C171/CHOOSE(MATCH($E171,{"Mensuelle","Tous les 2 mois","Trimestrielle","Semestrielle","Annuelle"},0),1,2,3,6,12),2))</f>
        <v/>
      </c>
    </row>
    <row r="172" ht="20" customHeight="1" spans="1:8" x14ac:dyDescent="0.25">
      <c r="A172" s="10"/>
      <c r="B172" s="10"/>
      <c r="C172" s="16"/>
      <c r="D172" s="10"/>
      <c r="E172" s="10"/>
      <c r="F172" s="10"/>
      <c r="G172" s="10"/>
      <c r="H172" s="17" t="str">
        <f>IF(OR($B172="",$C172=""),"",ROUND($C172/CHOOSE(MATCH($E172,{"Mensuelle","Tous les 2 mois","Trimestrielle","Semestrielle","Annuelle"},0),1,2,3,6,12),2))</f>
        <v/>
      </c>
    </row>
    <row r="173" ht="20" customHeight="1" spans="1:8" x14ac:dyDescent="0.25">
      <c r="A173" s="10"/>
      <c r="B173" s="10"/>
      <c r="C173" s="16"/>
      <c r="D173" s="10"/>
      <c r="E173" s="10"/>
      <c r="F173" s="10"/>
      <c r="G173" s="10"/>
      <c r="H173" s="17" t="str">
        <f>IF(OR($B173="",$C173=""),"",ROUND($C173/CHOOSE(MATCH($E173,{"Mensuelle","Tous les 2 mois","Trimestrielle","Semestrielle","Annuelle"},0),1,2,3,6,12),2))</f>
        <v/>
      </c>
    </row>
    <row r="174" ht="20" customHeight="1" spans="1:8" x14ac:dyDescent="0.25">
      <c r="A174" s="10"/>
      <c r="B174" s="10"/>
      <c r="C174" s="16"/>
      <c r="D174" s="10"/>
      <c r="E174" s="10"/>
      <c r="F174" s="10"/>
      <c r="G174" s="10"/>
      <c r="H174" s="17" t="str">
        <f>IF(OR($B174="",$C174=""),"",ROUND($C174/CHOOSE(MATCH($E174,{"Mensuelle","Tous les 2 mois","Trimestrielle","Semestrielle","Annuelle"},0),1,2,3,6,12),2))</f>
        <v/>
      </c>
    </row>
    <row r="175" ht="20" customHeight="1" spans="1:8" x14ac:dyDescent="0.25">
      <c r="A175" s="10"/>
      <c r="B175" s="10"/>
      <c r="C175" s="16"/>
      <c r="D175" s="10"/>
      <c r="E175" s="10"/>
      <c r="F175" s="10"/>
      <c r="G175" s="10"/>
      <c r="H175" s="17" t="str">
        <f>IF(OR($B175="",$C175=""),"",ROUND($C175/CHOOSE(MATCH($E175,{"Mensuelle","Tous les 2 mois","Trimestrielle","Semestrielle","Annuelle"},0),1,2,3,6,12),2))</f>
        <v/>
      </c>
    </row>
    <row r="176" ht="20" customHeight="1" spans="1:8" x14ac:dyDescent="0.25">
      <c r="A176" s="10"/>
      <c r="B176" s="10"/>
      <c r="C176" s="16"/>
      <c r="D176" s="10"/>
      <c r="E176" s="10"/>
      <c r="F176" s="10"/>
      <c r="G176" s="10"/>
      <c r="H176" s="17" t="str">
        <f>IF(OR($B176="",$C176=""),"",ROUND($C176/CHOOSE(MATCH($E176,{"Mensuelle","Tous les 2 mois","Trimestrielle","Semestrielle","Annuelle"},0),1,2,3,6,12),2))</f>
        <v/>
      </c>
    </row>
    <row r="177" ht="20" customHeight="1" spans="1:8" x14ac:dyDescent="0.25">
      <c r="A177" s="10"/>
      <c r="B177" s="10"/>
      <c r="C177" s="16"/>
      <c r="D177" s="10"/>
      <c r="E177" s="10"/>
      <c r="F177" s="10"/>
      <c r="G177" s="10"/>
      <c r="H177" s="17" t="str">
        <f>IF(OR($B177="",$C177=""),"",ROUND($C177/CHOOSE(MATCH($E177,{"Mensuelle","Tous les 2 mois","Trimestrielle","Semestrielle","Annuelle"},0),1,2,3,6,12),2))</f>
        <v/>
      </c>
    </row>
    <row r="178" ht="20" customHeight="1" spans="1:8" x14ac:dyDescent="0.25">
      <c r="A178" s="10"/>
      <c r="B178" s="10"/>
      <c r="C178" s="16"/>
      <c r="D178" s="10"/>
      <c r="E178" s="10"/>
      <c r="F178" s="10"/>
      <c r="G178" s="10"/>
      <c r="H178" s="17" t="str">
        <f>IF(OR($B178="",$C178=""),"",ROUND($C178/CHOOSE(MATCH($E178,{"Mensuelle","Tous les 2 mois","Trimestrielle","Semestrielle","Annuelle"},0),1,2,3,6,12),2))</f>
        <v/>
      </c>
    </row>
    <row r="179" ht="20" customHeight="1" spans="1:8" x14ac:dyDescent="0.25">
      <c r="A179" s="10"/>
      <c r="B179" s="10"/>
      <c r="C179" s="16"/>
      <c r="D179" s="10"/>
      <c r="E179" s="10"/>
      <c r="F179" s="10"/>
      <c r="G179" s="10"/>
      <c r="H179" s="17" t="str">
        <f>IF(OR($B179="",$C179=""),"",ROUND($C179/CHOOSE(MATCH($E179,{"Mensuelle","Tous les 2 mois","Trimestrielle","Semestrielle","Annuelle"},0),1,2,3,6,12),2))</f>
        <v/>
      </c>
    </row>
    <row r="180" ht="20" customHeight="1" spans="1:8" x14ac:dyDescent="0.25">
      <c r="A180" s="10"/>
      <c r="B180" s="10"/>
      <c r="C180" s="16"/>
      <c r="D180" s="10"/>
      <c r="E180" s="10"/>
      <c r="F180" s="10"/>
      <c r="G180" s="10"/>
      <c r="H180" s="17" t="str">
        <f>IF(OR($B180="",$C180=""),"",ROUND($C180/CHOOSE(MATCH($E180,{"Mensuelle","Tous les 2 mois","Trimestrielle","Semestrielle","Annuelle"},0),1,2,3,6,12),2))</f>
        <v/>
      </c>
    </row>
    <row r="181" ht="20" customHeight="1" spans="1:8" x14ac:dyDescent="0.25">
      <c r="A181" s="10"/>
      <c r="B181" s="10"/>
      <c r="C181" s="16"/>
      <c r="D181" s="10"/>
      <c r="E181" s="10"/>
      <c r="F181" s="10"/>
      <c r="G181" s="10"/>
      <c r="H181" s="17" t="str">
        <f>IF(OR($B181="",$C181=""),"",ROUND($C181/CHOOSE(MATCH($E181,{"Mensuelle","Tous les 2 mois","Trimestrielle","Semestrielle","Annuelle"},0),1,2,3,6,12),2))</f>
        <v/>
      </c>
    </row>
    <row r="182" ht="20" customHeight="1" spans="1:8" x14ac:dyDescent="0.25">
      <c r="A182" s="10"/>
      <c r="B182" s="10"/>
      <c r="C182" s="16"/>
      <c r="D182" s="10"/>
      <c r="E182" s="10"/>
      <c r="F182" s="10"/>
      <c r="G182" s="10"/>
      <c r="H182" s="17" t="str">
        <f>IF(OR($B182="",$C182=""),"",ROUND($C182/CHOOSE(MATCH($E182,{"Mensuelle","Tous les 2 mois","Trimestrielle","Semestrielle","Annuelle"},0),1,2,3,6,12),2))</f>
        <v/>
      </c>
    </row>
    <row r="183" ht="20" customHeight="1" spans="1:8" x14ac:dyDescent="0.25">
      <c r="A183" s="10"/>
      <c r="B183" s="10"/>
      <c r="C183" s="16"/>
      <c r="D183" s="10"/>
      <c r="E183" s="10"/>
      <c r="F183" s="10"/>
      <c r="G183" s="10"/>
      <c r="H183" s="17" t="str">
        <f>IF(OR($B183="",$C183=""),"",ROUND($C183/CHOOSE(MATCH($E183,{"Mensuelle","Tous les 2 mois","Trimestrielle","Semestrielle","Annuelle"},0),1,2,3,6,12),2))</f>
        <v/>
      </c>
    </row>
    <row r="184" ht="20" customHeight="1" spans="1:8" x14ac:dyDescent="0.25">
      <c r="A184" s="10"/>
      <c r="B184" s="10"/>
      <c r="C184" s="16"/>
      <c r="D184" s="10"/>
      <c r="E184" s="10"/>
      <c r="F184" s="10"/>
      <c r="G184" s="10"/>
      <c r="H184" s="17" t="str">
        <f>IF(OR($B184="",$C184=""),"",ROUND($C184/CHOOSE(MATCH($E184,{"Mensuelle","Tous les 2 mois","Trimestrielle","Semestrielle","Annuelle"},0),1,2,3,6,12),2))</f>
        <v/>
      </c>
    </row>
    <row r="185" ht="20" customHeight="1" spans="1:8" x14ac:dyDescent="0.25">
      <c r="A185" s="10"/>
      <c r="B185" s="10"/>
      <c r="C185" s="16"/>
      <c r="D185" s="10"/>
      <c r="E185" s="10"/>
      <c r="F185" s="10"/>
      <c r="G185" s="10"/>
      <c r="H185" s="17" t="str">
        <f>IF(OR($B185="",$C185=""),"",ROUND($C185/CHOOSE(MATCH($E185,{"Mensuelle","Tous les 2 mois","Trimestrielle","Semestrielle","Annuelle"},0),1,2,3,6,12),2))</f>
        <v/>
      </c>
    </row>
    <row r="186" ht="20" customHeight="1" spans="1:8" x14ac:dyDescent="0.25">
      <c r="A186" s="10"/>
      <c r="B186" s="10"/>
      <c r="C186" s="16"/>
      <c r="D186" s="10"/>
      <c r="E186" s="10"/>
      <c r="F186" s="10"/>
      <c r="G186" s="10"/>
      <c r="H186" s="17" t="str">
        <f>IF(OR($B186="",$C186=""),"",ROUND($C186/CHOOSE(MATCH($E186,{"Mensuelle","Tous les 2 mois","Trimestrielle","Semestrielle","Annuelle"},0),1,2,3,6,12),2))</f>
        <v/>
      </c>
    </row>
    <row r="187" ht="20" customHeight="1" spans="1:8" x14ac:dyDescent="0.25">
      <c r="A187" s="10"/>
      <c r="B187" s="10"/>
      <c r="C187" s="16"/>
      <c r="D187" s="10"/>
      <c r="E187" s="10"/>
      <c r="F187" s="10"/>
      <c r="G187" s="10"/>
      <c r="H187" s="17" t="str">
        <f>IF(OR($B187="",$C187=""),"",ROUND($C187/CHOOSE(MATCH($E187,{"Mensuelle","Tous les 2 mois","Trimestrielle","Semestrielle","Annuelle"},0),1,2,3,6,12),2))</f>
        <v/>
      </c>
    </row>
    <row r="188" ht="20" customHeight="1" spans="1:8" x14ac:dyDescent="0.25">
      <c r="A188" s="10"/>
      <c r="B188" s="10"/>
      <c r="C188" s="16"/>
      <c r="D188" s="10"/>
      <c r="E188" s="10"/>
      <c r="F188" s="10"/>
      <c r="G188" s="10"/>
      <c r="H188" s="17" t="str">
        <f>IF(OR($B188="",$C188=""),"",ROUND($C188/CHOOSE(MATCH($E188,{"Mensuelle","Tous les 2 mois","Trimestrielle","Semestrielle","Annuelle"},0),1,2,3,6,12),2))</f>
        <v/>
      </c>
    </row>
    <row r="189" ht="20" customHeight="1" spans="1:8" x14ac:dyDescent="0.25">
      <c r="A189" s="10"/>
      <c r="B189" s="10"/>
      <c r="C189" s="16"/>
      <c r="D189" s="10"/>
      <c r="E189" s="10"/>
      <c r="F189" s="10"/>
      <c r="G189" s="10"/>
      <c r="H189" s="17" t="str">
        <f>IF(OR($B189="",$C189=""),"",ROUND($C189/CHOOSE(MATCH($E189,{"Mensuelle","Tous les 2 mois","Trimestrielle","Semestrielle","Annuelle"},0),1,2,3,6,12),2))</f>
        <v/>
      </c>
    </row>
    <row r="190" ht="20" customHeight="1" spans="1:8" x14ac:dyDescent="0.25">
      <c r="A190" s="10"/>
      <c r="B190" s="10"/>
      <c r="C190" s="16"/>
      <c r="D190" s="10"/>
      <c r="E190" s="10"/>
      <c r="F190" s="10"/>
      <c r="G190" s="10"/>
      <c r="H190" s="17" t="str">
        <f>IF(OR($B190="",$C190=""),"",ROUND($C190/CHOOSE(MATCH($E190,{"Mensuelle","Tous les 2 mois","Trimestrielle","Semestrielle","Annuelle"},0),1,2,3,6,12),2))</f>
        <v/>
      </c>
    </row>
    <row r="191" ht="20" customHeight="1" spans="1:8" x14ac:dyDescent="0.25">
      <c r="A191" s="10"/>
      <c r="B191" s="10"/>
      <c r="C191" s="16"/>
      <c r="D191" s="10"/>
      <c r="E191" s="10"/>
      <c r="F191" s="10"/>
      <c r="G191" s="10"/>
      <c r="H191" s="17" t="str">
        <f>IF(OR($B191="",$C191=""),"",ROUND($C191/CHOOSE(MATCH($E191,{"Mensuelle","Tous les 2 mois","Trimestrielle","Semestrielle","Annuelle"},0),1,2,3,6,12),2))</f>
        <v/>
      </c>
    </row>
    <row r="192" ht="20" customHeight="1" spans="1:8" x14ac:dyDescent="0.25">
      <c r="A192" s="10"/>
      <c r="B192" s="10"/>
      <c r="C192" s="16"/>
      <c r="D192" s="10"/>
      <c r="E192" s="10"/>
      <c r="F192" s="10"/>
      <c r="G192" s="10"/>
      <c r="H192" s="17" t="str">
        <f>IF(OR($B192="",$C192=""),"",ROUND($C192/CHOOSE(MATCH($E192,{"Mensuelle","Tous les 2 mois","Trimestrielle","Semestrielle","Annuelle"},0),1,2,3,6,12),2))</f>
        <v/>
      </c>
    </row>
    <row r="193" ht="20" customHeight="1" spans="1:8" x14ac:dyDescent="0.25">
      <c r="A193" s="10"/>
      <c r="B193" s="10"/>
      <c r="C193" s="16"/>
      <c r="D193" s="10"/>
      <c r="E193" s="10"/>
      <c r="F193" s="10"/>
      <c r="G193" s="10"/>
      <c r="H193" s="17" t="str">
        <f>IF(OR($B193="",$C193=""),"",ROUND($C193/CHOOSE(MATCH($E193,{"Mensuelle","Tous les 2 mois","Trimestrielle","Semestrielle","Annuelle"},0),1,2,3,6,12),2))</f>
        <v/>
      </c>
    </row>
    <row r="194" ht="20" customHeight="1" spans="1:8" x14ac:dyDescent="0.25">
      <c r="A194" s="10"/>
      <c r="B194" s="10"/>
      <c r="C194" s="16"/>
      <c r="D194" s="10"/>
      <c r="E194" s="10"/>
      <c r="F194" s="10"/>
      <c r="G194" s="10"/>
      <c r="H194" s="17" t="str">
        <f>IF(OR($B194="",$C194=""),"",ROUND($C194/CHOOSE(MATCH($E194,{"Mensuelle","Tous les 2 mois","Trimestrielle","Semestrielle","Annuelle"},0),1,2,3,6,12),2))</f>
        <v/>
      </c>
    </row>
    <row r="195" ht="20" customHeight="1" spans="1:8" x14ac:dyDescent="0.25">
      <c r="A195" s="10"/>
      <c r="B195" s="10"/>
      <c r="C195" s="16"/>
      <c r="D195" s="10"/>
      <c r="E195" s="10"/>
      <c r="F195" s="10"/>
      <c r="G195" s="10"/>
      <c r="H195" s="17" t="str">
        <f>IF(OR($B195="",$C195=""),"",ROUND($C195/CHOOSE(MATCH($E195,{"Mensuelle","Tous les 2 mois","Trimestrielle","Semestrielle","Annuelle"},0),1,2,3,6,12),2))</f>
        <v/>
      </c>
    </row>
    <row r="196" ht="20" customHeight="1" spans="1:8" x14ac:dyDescent="0.25">
      <c r="A196" s="10"/>
      <c r="B196" s="10"/>
      <c r="C196" s="16"/>
      <c r="D196" s="10"/>
      <c r="E196" s="10"/>
      <c r="F196" s="10"/>
      <c r="G196" s="10"/>
      <c r="H196" s="17" t="str">
        <f>IF(OR($B196="",$C196=""),"",ROUND($C196/CHOOSE(MATCH($E196,{"Mensuelle","Tous les 2 mois","Trimestrielle","Semestrielle","Annuelle"},0),1,2,3,6,12),2))</f>
        <v/>
      </c>
    </row>
    <row r="197" ht="20" customHeight="1" spans="1:8" x14ac:dyDescent="0.25">
      <c r="A197" s="10"/>
      <c r="B197" s="10"/>
      <c r="C197" s="16"/>
      <c r="D197" s="10"/>
      <c r="E197" s="10"/>
      <c r="F197" s="10"/>
      <c r="G197" s="10"/>
      <c r="H197" s="17" t="str">
        <f>IF(OR($B197="",$C197=""),"",ROUND($C197/CHOOSE(MATCH($E197,{"Mensuelle","Tous les 2 mois","Trimestrielle","Semestrielle","Annuelle"},0),1,2,3,6,12),2))</f>
        <v/>
      </c>
    </row>
    <row r="198" ht="20" customHeight="1" spans="1:8" x14ac:dyDescent="0.25">
      <c r="A198" s="10"/>
      <c r="B198" s="10"/>
      <c r="C198" s="16"/>
      <c r="D198" s="10"/>
      <c r="E198" s="10"/>
      <c r="F198" s="10"/>
      <c r="G198" s="10"/>
      <c r="H198" s="17" t="str">
        <f>IF(OR($B198="",$C198=""),"",ROUND($C198/CHOOSE(MATCH($E198,{"Mensuelle","Tous les 2 mois","Trimestrielle","Semestrielle","Annuelle"},0),1,2,3,6,12),2))</f>
        <v/>
      </c>
    </row>
    <row r="199" ht="20" customHeight="1" spans="1:8" x14ac:dyDescent="0.25">
      <c r="A199" s="10"/>
      <c r="B199" s="10"/>
      <c r="C199" s="16"/>
      <c r="D199" s="10"/>
      <c r="E199" s="10"/>
      <c r="F199" s="10"/>
      <c r="G199" s="10"/>
      <c r="H199" s="17" t="str">
        <f>IF(OR($B199="",$C199=""),"",ROUND($C199/CHOOSE(MATCH($E199,{"Mensuelle","Tous les 2 mois","Trimestrielle","Semestrielle","Annuelle"},0),1,2,3,6,12),2))</f>
        <v/>
      </c>
    </row>
    <row r="200" ht="20" customHeight="1" spans="1:8" x14ac:dyDescent="0.25">
      <c r="A200" s="10"/>
      <c r="B200" s="10"/>
      <c r="C200" s="16"/>
      <c r="D200" s="10"/>
      <c r="E200" s="10"/>
      <c r="F200" s="10"/>
      <c r="G200" s="10"/>
      <c r="H200" s="17" t="str">
        <f>IF(OR($B200="",$C200=""),"",ROUND($C200/CHOOSE(MATCH($E200,{"Mensuelle","Tous les 2 mois","Trimestrielle","Semestrielle","Annuelle"},0),1,2,3,6,12),2))</f>
        <v/>
      </c>
    </row>
    <row r="201" ht="20" customHeight="1" spans="1:8" x14ac:dyDescent="0.25">
      <c r="A201" s="10"/>
      <c r="B201" s="10"/>
      <c r="C201" s="16"/>
      <c r="D201" s="10"/>
      <c r="E201" s="10"/>
      <c r="F201" s="10"/>
      <c r="G201" s="10"/>
      <c r="H201" s="17" t="str">
        <f>IF(OR($B201="",$C201=""),"",ROUND($C201/CHOOSE(MATCH($E201,{"Mensuelle","Tous les 2 mois","Trimestrielle","Semestrielle","Annuelle"},0),1,2,3,6,12),2))</f>
        <v/>
      </c>
    </row>
    <row r="202" ht="20" customHeight="1" spans="1:8" x14ac:dyDescent="0.25">
      <c r="A202" s="10"/>
      <c r="B202" s="10"/>
      <c r="C202" s="16"/>
      <c r="D202" s="10"/>
      <c r="E202" s="10"/>
      <c r="F202" s="10"/>
      <c r="G202" s="10"/>
      <c r="H202" s="17" t="str">
        <f>IF(OR($B202="",$C202=""),"",ROUND($C202/CHOOSE(MATCH($E202,{"Mensuelle","Tous les 2 mois","Trimestrielle","Semestrielle","Annuelle"},0),1,2,3,6,12),2))</f>
        <v/>
      </c>
    </row>
    <row r="203" ht="20" customHeight="1" spans="1:8" x14ac:dyDescent="0.25">
      <c r="A203" s="10"/>
      <c r="B203" s="10"/>
      <c r="C203" s="16"/>
      <c r="D203" s="10"/>
      <c r="E203" s="10"/>
      <c r="F203" s="10"/>
      <c r="G203" s="10"/>
      <c r="H203" s="17" t="str">
        <f>IF(OR($B203="",$C203=""),"",ROUND($C203/CHOOSE(MATCH($E203,{"Mensuelle","Tous les 2 mois","Trimestrielle","Semestrielle","Annuelle"},0),1,2,3,6,12),2))</f>
        <v/>
      </c>
    </row>
    <row r="204" ht="20" customHeight="1" spans="1:8" x14ac:dyDescent="0.25">
      <c r="A204" s="10"/>
      <c r="B204" s="10"/>
      <c r="C204" s="16"/>
      <c r="D204" s="10"/>
      <c r="E204" s="10"/>
      <c r="F204" s="10"/>
      <c r="G204" s="10"/>
      <c r="H204" s="17" t="str">
        <f>IF(OR($B204="",$C204=""),"",ROUND($C204/CHOOSE(MATCH($E204,{"Mensuelle","Tous les 2 mois","Trimestrielle","Semestrielle","Annuelle"},0),1,2,3,6,12),2))</f>
        <v/>
      </c>
    </row>
    <row r="205" ht="20" customHeight="1" spans="1:8" x14ac:dyDescent="0.25">
      <c r="A205" s="10"/>
      <c r="B205" s="10"/>
      <c r="C205" s="16"/>
      <c r="D205" s="10"/>
      <c r="E205" s="10"/>
      <c r="F205" s="10"/>
      <c r="G205" s="10"/>
      <c r="H205" s="17" t="str">
        <f>IF(OR($B205="",$C205=""),"",ROUND($C205/CHOOSE(MATCH($E205,{"Mensuelle","Tous les 2 mois","Trimestrielle","Semestrielle","Annuelle"},0),1,2,3,6,12),2))</f>
        <v/>
      </c>
    </row>
    <row r="206" ht="20" customHeight="1" spans="1:8" x14ac:dyDescent="0.25">
      <c r="A206" s="10"/>
      <c r="B206" s="10"/>
      <c r="C206" s="16"/>
      <c r="D206" s="10"/>
      <c r="E206" s="10"/>
      <c r="F206" s="10"/>
      <c r="G206" s="10"/>
      <c r="H206" s="17" t="str">
        <f>IF(OR($B206="",$C206=""),"",ROUND($C206/CHOOSE(MATCH($E206,{"Mensuelle","Tous les 2 mois","Trimestrielle","Semestrielle","Annuelle"},0),1,2,3,6,12),2))</f>
        <v/>
      </c>
    </row>
    <row r="207" ht="20" customHeight="1" spans="1:8" x14ac:dyDescent="0.25">
      <c r="A207" s="10"/>
      <c r="B207" s="10"/>
      <c r="C207" s="16"/>
      <c r="D207" s="10"/>
      <c r="E207" s="10"/>
      <c r="F207" s="10"/>
      <c r="G207" s="10"/>
      <c r="H207" s="17" t="str">
        <f>IF(OR($B207="",$C207=""),"",ROUND($C207/CHOOSE(MATCH($E207,{"Mensuelle","Tous les 2 mois","Trimestrielle","Semestrielle","Annuelle"},0),1,2,3,6,12),2))</f>
        <v/>
      </c>
    </row>
    <row r="208" ht="20" customHeight="1" spans="1:8" x14ac:dyDescent="0.25">
      <c r="A208" s="10"/>
      <c r="B208" s="10"/>
      <c r="C208" s="16"/>
      <c r="D208" s="10"/>
      <c r="E208" s="10"/>
      <c r="F208" s="10"/>
      <c r="G208" s="10"/>
      <c r="H208" s="17" t="str">
        <f>IF(OR($B208="",$C208=""),"",ROUND($C208/CHOOSE(MATCH($E208,{"Mensuelle","Tous les 2 mois","Trimestrielle","Semestrielle","Annuelle"},0),1,2,3,6,12),2))</f>
        <v/>
      </c>
    </row>
    <row r="209" ht="20" customHeight="1" spans="1:8" x14ac:dyDescent="0.25">
      <c r="A209" s="10"/>
      <c r="B209" s="10"/>
      <c r="C209" s="16"/>
      <c r="D209" s="10"/>
      <c r="E209" s="10"/>
      <c r="F209" s="10"/>
      <c r="G209" s="10"/>
      <c r="H209" s="17" t="str">
        <f>IF(OR($B209="",$C209=""),"",ROUND($C209/CHOOSE(MATCH($E209,{"Mensuelle","Tous les 2 mois","Trimestrielle","Semestrielle","Annuelle"},0),1,2,3,6,12),2))</f>
        <v/>
      </c>
    </row>
    <row r="210" ht="20" customHeight="1" spans="1:8" x14ac:dyDescent="0.25">
      <c r="A210" s="10"/>
      <c r="B210" s="10"/>
      <c r="C210" s="16"/>
      <c r="D210" s="10"/>
      <c r="E210" s="10"/>
      <c r="F210" s="10"/>
      <c r="G210" s="10"/>
      <c r="H210" s="17" t="str">
        <f>IF(OR($B210="",$C210=""),"",ROUND($C210/CHOOSE(MATCH($E210,{"Mensuelle","Tous les 2 mois","Trimestrielle","Semestrielle","Annuelle"},0),1,2,3,6,12),2))</f>
        <v/>
      </c>
    </row>
    <row r="211" ht="20" customHeight="1" spans="1:8" x14ac:dyDescent="0.25">
      <c r="A211" s="10"/>
      <c r="B211" s="10"/>
      <c r="C211" s="16"/>
      <c r="D211" s="10"/>
      <c r="E211" s="10"/>
      <c r="F211" s="10"/>
      <c r="G211" s="10"/>
      <c r="H211" s="17" t="str">
        <f>IF(OR($B211="",$C211=""),"",ROUND($C211/CHOOSE(MATCH($E211,{"Mensuelle","Tous les 2 mois","Trimestrielle","Semestrielle","Annuelle"},0),1,2,3,6,12),2))</f>
        <v/>
      </c>
    </row>
    <row r="212" ht="20" customHeight="1" spans="1:8" x14ac:dyDescent="0.25">
      <c r="A212" s="10"/>
      <c r="B212" s="10"/>
      <c r="C212" s="16"/>
      <c r="D212" s="10"/>
      <c r="E212" s="10"/>
      <c r="F212" s="10"/>
      <c r="G212" s="10"/>
      <c r="H212" s="17" t="str">
        <f>IF(OR($B212="",$C212=""),"",ROUND($C212/CHOOSE(MATCH($E212,{"Mensuelle","Tous les 2 mois","Trimestrielle","Semestrielle","Annuelle"},0),1,2,3,6,12),2))</f>
        <v/>
      </c>
    </row>
    <row r="213" ht="20" customHeight="1" spans="1:8" x14ac:dyDescent="0.25">
      <c r="A213" s="10"/>
      <c r="B213" s="10"/>
      <c r="C213" s="16"/>
      <c r="D213" s="10"/>
      <c r="E213" s="10"/>
      <c r="F213" s="10"/>
      <c r="G213" s="10"/>
      <c r="H213" s="17" t="str">
        <f>IF(OR($B213="",$C213=""),"",ROUND($C213/CHOOSE(MATCH($E213,{"Mensuelle","Tous les 2 mois","Trimestrielle","Semestrielle","Annuelle"},0),1,2,3,6,12),2))</f>
        <v/>
      </c>
    </row>
    <row r="214" ht="20" customHeight="1" spans="1:8" x14ac:dyDescent="0.25">
      <c r="A214" s="10"/>
      <c r="B214" s="10"/>
      <c r="C214" s="16"/>
      <c r="D214" s="10"/>
      <c r="E214" s="10"/>
      <c r="F214" s="10"/>
      <c r="G214" s="10"/>
      <c r="H214" s="17" t="str">
        <f>IF(OR($B214="",$C214=""),"",ROUND($C214/CHOOSE(MATCH($E214,{"Mensuelle","Tous les 2 mois","Trimestrielle","Semestrielle","Annuelle"},0),1,2,3,6,12),2))</f>
        <v/>
      </c>
    </row>
    <row r="215" ht="20" customHeight="1" spans="1:8" x14ac:dyDescent="0.25">
      <c r="A215" s="10"/>
      <c r="B215" s="10"/>
      <c r="C215" s="16"/>
      <c r="D215" s="10"/>
      <c r="E215" s="10"/>
      <c r="F215" s="10"/>
      <c r="G215" s="10"/>
      <c r="H215" s="17" t="str">
        <f>IF(OR($B215="",$C215=""),"",ROUND($C215/CHOOSE(MATCH($E215,{"Mensuelle","Tous les 2 mois","Trimestrielle","Semestrielle","Annuelle"},0),1,2,3,6,12),2))</f>
        <v/>
      </c>
    </row>
    <row r="216" ht="20" customHeight="1" spans="1:8" x14ac:dyDescent="0.25">
      <c r="A216" s="10"/>
      <c r="B216" s="10"/>
      <c r="C216" s="16"/>
      <c r="D216" s="10"/>
      <c r="E216" s="10"/>
      <c r="F216" s="10"/>
      <c r="G216" s="10"/>
      <c r="H216" s="17" t="str">
        <f>IF(OR($B216="",$C216=""),"",ROUND($C216/CHOOSE(MATCH($E216,{"Mensuelle","Tous les 2 mois","Trimestrielle","Semestrielle","Annuelle"},0),1,2,3,6,12),2))</f>
        <v/>
      </c>
    </row>
    <row r="217" ht="20" customHeight="1" spans="1:8" x14ac:dyDescent="0.25">
      <c r="A217" s="10"/>
      <c r="B217" s="10"/>
      <c r="C217" s="16"/>
      <c r="D217" s="10"/>
      <c r="E217" s="10"/>
      <c r="F217" s="10"/>
      <c r="G217" s="10"/>
      <c r="H217" s="17" t="str">
        <f>IF(OR($B217="",$C217=""),"",ROUND($C217/CHOOSE(MATCH($E217,{"Mensuelle","Tous les 2 mois","Trimestrielle","Semestrielle","Annuelle"},0),1,2,3,6,12),2))</f>
        <v/>
      </c>
    </row>
    <row r="218" ht="20" customHeight="1" spans="1:8" x14ac:dyDescent="0.25">
      <c r="A218" s="10"/>
      <c r="B218" s="10"/>
      <c r="C218" s="16"/>
      <c r="D218" s="10"/>
      <c r="E218" s="10"/>
      <c r="F218" s="10"/>
      <c r="G218" s="10"/>
      <c r="H218" s="17" t="str">
        <f>IF(OR($B218="",$C218=""),"",ROUND($C218/CHOOSE(MATCH($E218,{"Mensuelle","Tous les 2 mois","Trimestrielle","Semestrielle","Annuelle"},0),1,2,3,6,12),2))</f>
        <v/>
      </c>
    </row>
    <row r="219" ht="20" customHeight="1" spans="1:8" x14ac:dyDescent="0.25">
      <c r="A219" s="10"/>
      <c r="B219" s="10"/>
      <c r="C219" s="16"/>
      <c r="D219" s="10"/>
      <c r="E219" s="10"/>
      <c r="F219" s="10"/>
      <c r="G219" s="10"/>
      <c r="H219" s="17" t="str">
        <f>IF(OR($B219="",$C219=""),"",ROUND($C219/CHOOSE(MATCH($E219,{"Mensuelle","Tous les 2 mois","Trimestrielle","Semestrielle","Annuelle"},0),1,2,3,6,12),2))</f>
        <v/>
      </c>
    </row>
    <row r="220" ht="20" customHeight="1" spans="1:8" x14ac:dyDescent="0.25">
      <c r="A220" s="10"/>
      <c r="B220" s="10"/>
      <c r="C220" s="16"/>
      <c r="D220" s="10"/>
      <c r="E220" s="10"/>
      <c r="F220" s="10"/>
      <c r="G220" s="10"/>
      <c r="H220" s="17" t="str">
        <f>IF(OR($B220="",$C220=""),"",ROUND($C220/CHOOSE(MATCH($E220,{"Mensuelle","Tous les 2 mois","Trimestrielle","Semestrielle","Annuelle"},0),1,2,3,6,12),2))</f>
        <v/>
      </c>
    </row>
    <row r="221" ht="20" customHeight="1" spans="1:8" x14ac:dyDescent="0.25">
      <c r="A221" s="10"/>
      <c r="B221" s="10"/>
      <c r="C221" s="16"/>
      <c r="D221" s="10"/>
      <c r="E221" s="10"/>
      <c r="F221" s="10"/>
      <c r="G221" s="10"/>
      <c r="H221" s="17" t="str">
        <f>IF(OR($B221="",$C221=""),"",ROUND($C221/CHOOSE(MATCH($E221,{"Mensuelle","Tous les 2 mois","Trimestrielle","Semestrielle","Annuelle"},0),1,2,3,6,12),2))</f>
        <v/>
      </c>
    </row>
    <row r="222" ht="20" customHeight="1" spans="1:8" x14ac:dyDescent="0.25">
      <c r="A222" s="10"/>
      <c r="B222" s="10"/>
      <c r="C222" s="16"/>
      <c r="D222" s="10"/>
      <c r="E222" s="10"/>
      <c r="F222" s="10"/>
      <c r="G222" s="10"/>
      <c r="H222" s="17" t="str">
        <f>IF(OR($B222="",$C222=""),"",ROUND($C222/CHOOSE(MATCH($E222,{"Mensuelle","Tous les 2 mois","Trimestrielle","Semestrielle","Annuelle"},0),1,2,3,6,12),2))</f>
        <v/>
      </c>
    </row>
    <row r="223" ht="20" customHeight="1" spans="1:8" x14ac:dyDescent="0.25">
      <c r="A223" s="10"/>
      <c r="B223" s="10"/>
      <c r="C223" s="16"/>
      <c r="D223" s="10"/>
      <c r="E223" s="10"/>
      <c r="F223" s="10"/>
      <c r="G223" s="10"/>
      <c r="H223" s="17" t="str">
        <f>IF(OR($B223="",$C223=""),"",ROUND($C223/CHOOSE(MATCH($E223,{"Mensuelle","Tous les 2 mois","Trimestrielle","Semestrielle","Annuelle"},0),1,2,3,6,12),2))</f>
        <v/>
      </c>
    </row>
    <row r="224" ht="20" customHeight="1" spans="1:8" x14ac:dyDescent="0.25">
      <c r="A224" s="10"/>
      <c r="B224" s="10"/>
      <c r="C224" s="16"/>
      <c r="D224" s="10"/>
      <c r="E224" s="10"/>
      <c r="F224" s="10"/>
      <c r="G224" s="10"/>
      <c r="H224" s="17" t="str">
        <f>IF(OR($B224="",$C224=""),"",ROUND($C224/CHOOSE(MATCH($E224,{"Mensuelle","Tous les 2 mois","Trimestrielle","Semestrielle","Annuelle"},0),1,2,3,6,12),2))</f>
        <v/>
      </c>
    </row>
    <row r="225" ht="20" customHeight="1" spans="1:8" x14ac:dyDescent="0.25">
      <c r="A225" s="10"/>
      <c r="B225" s="10"/>
      <c r="C225" s="16"/>
      <c r="D225" s="10"/>
      <c r="E225" s="10"/>
      <c r="F225" s="10"/>
      <c r="G225" s="10"/>
      <c r="H225" s="17" t="str">
        <f>IF(OR($B225="",$C225=""),"",ROUND($C225/CHOOSE(MATCH($E225,{"Mensuelle","Tous les 2 mois","Trimestrielle","Semestrielle","Annuelle"},0),1,2,3,6,12),2))</f>
        <v/>
      </c>
    </row>
    <row r="226" ht="20" customHeight="1" spans="1:8" x14ac:dyDescent="0.25">
      <c r="A226" s="10"/>
      <c r="B226" s="10"/>
      <c r="C226" s="16"/>
      <c r="D226" s="10"/>
      <c r="E226" s="10"/>
      <c r="F226" s="10"/>
      <c r="G226" s="10"/>
      <c r="H226" s="17" t="str">
        <f>IF(OR($B226="",$C226=""),"",ROUND($C226/CHOOSE(MATCH($E226,{"Mensuelle","Tous les 2 mois","Trimestrielle","Semestrielle","Annuelle"},0),1,2,3,6,12),2))</f>
        <v/>
      </c>
    </row>
    <row r="227" ht="20" customHeight="1" spans="1:8" x14ac:dyDescent="0.25">
      <c r="A227" s="10"/>
      <c r="B227" s="10"/>
      <c r="C227" s="16"/>
      <c r="D227" s="10"/>
      <c r="E227" s="10"/>
      <c r="F227" s="10"/>
      <c r="G227" s="10"/>
      <c r="H227" s="17" t="str">
        <f>IF(OR($B227="",$C227=""),"",ROUND($C227/CHOOSE(MATCH($E227,{"Mensuelle","Tous les 2 mois","Trimestrielle","Semestrielle","Annuelle"},0),1,2,3,6,12),2))</f>
        <v/>
      </c>
    </row>
    <row r="228" ht="20" customHeight="1" spans="1:8" x14ac:dyDescent="0.25">
      <c r="A228" s="10"/>
      <c r="B228" s="10"/>
      <c r="C228" s="16"/>
      <c r="D228" s="10"/>
      <c r="E228" s="10"/>
      <c r="F228" s="10"/>
      <c r="G228" s="10"/>
      <c r="H228" s="17" t="str">
        <f>IF(OR($B228="",$C228=""),"",ROUND($C228/CHOOSE(MATCH($E228,{"Mensuelle","Tous les 2 mois","Trimestrielle","Semestrielle","Annuelle"},0),1,2,3,6,12),2))</f>
        <v/>
      </c>
    </row>
    <row r="229" ht="20" customHeight="1" spans="1:8" x14ac:dyDescent="0.25">
      <c r="A229" s="10"/>
      <c r="B229" s="10"/>
      <c r="C229" s="16"/>
      <c r="D229" s="10"/>
      <c r="E229" s="10"/>
      <c r="F229" s="10"/>
      <c r="G229" s="10"/>
      <c r="H229" s="17" t="str">
        <f>IF(OR($B229="",$C229=""),"",ROUND($C229/CHOOSE(MATCH($E229,{"Mensuelle","Tous les 2 mois","Trimestrielle","Semestrielle","Annuelle"},0),1,2,3,6,12),2))</f>
        <v/>
      </c>
    </row>
    <row r="230" ht="20" customHeight="1" spans="1:8" x14ac:dyDescent="0.25">
      <c r="A230" s="10"/>
      <c r="B230" s="10"/>
      <c r="C230" s="16"/>
      <c r="D230" s="10"/>
      <c r="E230" s="10"/>
      <c r="F230" s="10"/>
      <c r="G230" s="10"/>
      <c r="H230" s="17" t="str">
        <f>IF(OR($B230="",$C230=""),"",ROUND($C230/CHOOSE(MATCH($E230,{"Mensuelle","Tous les 2 mois","Trimestrielle","Semestrielle","Annuelle"},0),1,2,3,6,12),2))</f>
        <v/>
      </c>
    </row>
    <row r="231" ht="20" customHeight="1" spans="1:8" x14ac:dyDescent="0.25">
      <c r="A231" s="10"/>
      <c r="B231" s="10"/>
      <c r="C231" s="16"/>
      <c r="D231" s="10"/>
      <c r="E231" s="10"/>
      <c r="F231" s="10"/>
      <c r="G231" s="10"/>
      <c r="H231" s="17" t="str">
        <f>IF(OR($B231="",$C231=""),"",ROUND($C231/CHOOSE(MATCH($E231,{"Mensuelle","Tous les 2 mois","Trimestrielle","Semestrielle","Annuelle"},0),1,2,3,6,12),2))</f>
        <v/>
      </c>
    </row>
    <row r="232" ht="20" customHeight="1" spans="1:8" x14ac:dyDescent="0.25">
      <c r="A232" s="10"/>
      <c r="B232" s="10"/>
      <c r="C232" s="16"/>
      <c r="D232" s="10"/>
      <c r="E232" s="10"/>
      <c r="F232" s="10"/>
      <c r="G232" s="10"/>
      <c r="H232" s="17" t="str">
        <f>IF(OR($B232="",$C232=""),"",ROUND($C232/CHOOSE(MATCH($E232,{"Mensuelle","Tous les 2 mois","Trimestrielle","Semestrielle","Annuelle"},0),1,2,3,6,12),2))</f>
        <v/>
      </c>
    </row>
    <row r="233" ht="20" customHeight="1" spans="1:8" x14ac:dyDescent="0.25">
      <c r="A233" s="10"/>
      <c r="B233" s="10"/>
      <c r="C233" s="16"/>
      <c r="D233" s="10"/>
      <c r="E233" s="10"/>
      <c r="F233" s="10"/>
      <c r="G233" s="10"/>
      <c r="H233" s="17" t="str">
        <f>IF(OR($B233="",$C233=""),"",ROUND($C233/CHOOSE(MATCH($E233,{"Mensuelle","Tous les 2 mois","Trimestrielle","Semestrielle","Annuelle"},0),1,2,3,6,12),2))</f>
        <v/>
      </c>
    </row>
    <row r="234" ht="20" customHeight="1" spans="1:8" x14ac:dyDescent="0.25">
      <c r="A234" s="10"/>
      <c r="B234" s="10"/>
      <c r="C234" s="16"/>
      <c r="D234" s="10"/>
      <c r="E234" s="10"/>
      <c r="F234" s="10"/>
      <c r="G234" s="10"/>
      <c r="H234" s="17" t="str">
        <f>IF(OR($B234="",$C234=""),"",ROUND($C234/CHOOSE(MATCH($E234,{"Mensuelle","Tous les 2 mois","Trimestrielle","Semestrielle","Annuelle"},0),1,2,3,6,12),2))</f>
        <v/>
      </c>
    </row>
    <row r="235" ht="20" customHeight="1" spans="1:8" x14ac:dyDescent="0.25">
      <c r="A235" s="10"/>
      <c r="B235" s="10"/>
      <c r="C235" s="16"/>
      <c r="D235" s="10"/>
      <c r="E235" s="10"/>
      <c r="F235" s="10"/>
      <c r="G235" s="10"/>
      <c r="H235" s="17" t="str">
        <f>IF(OR($B235="",$C235=""),"",ROUND($C235/CHOOSE(MATCH($E235,{"Mensuelle","Tous les 2 mois","Trimestrielle","Semestrielle","Annuelle"},0),1,2,3,6,12),2))</f>
        <v/>
      </c>
    </row>
    <row r="236" ht="20" customHeight="1" spans="1:8" x14ac:dyDescent="0.25">
      <c r="A236" s="10"/>
      <c r="B236" s="10"/>
      <c r="C236" s="16"/>
      <c r="D236" s="10"/>
      <c r="E236" s="10"/>
      <c r="F236" s="10"/>
      <c r="G236" s="10"/>
      <c r="H236" s="17" t="str">
        <f>IF(OR($B236="",$C236=""),"",ROUND($C236/CHOOSE(MATCH($E236,{"Mensuelle","Tous les 2 mois","Trimestrielle","Semestrielle","Annuelle"},0),1,2,3,6,12),2))</f>
        <v/>
      </c>
    </row>
    <row r="237" ht="20" customHeight="1" spans="1:8" x14ac:dyDescent="0.25">
      <c r="A237" s="10"/>
      <c r="B237" s="10"/>
      <c r="C237" s="16"/>
      <c r="D237" s="10"/>
      <c r="E237" s="10"/>
      <c r="F237" s="10"/>
      <c r="G237" s="10"/>
      <c r="H237" s="17" t="str">
        <f>IF(OR($B237="",$C237=""),"",ROUND($C237/CHOOSE(MATCH($E237,{"Mensuelle","Tous les 2 mois","Trimestrielle","Semestrielle","Annuelle"},0),1,2,3,6,12),2))</f>
        <v/>
      </c>
    </row>
    <row r="238" ht="20" customHeight="1" spans="1:8" x14ac:dyDescent="0.25">
      <c r="A238" s="10"/>
      <c r="B238" s="10"/>
      <c r="C238" s="16"/>
      <c r="D238" s="10"/>
      <c r="E238" s="10"/>
      <c r="F238" s="10"/>
      <c r="G238" s="10"/>
      <c r="H238" s="17" t="str">
        <f>IF(OR($B238="",$C238=""),"",ROUND($C238/CHOOSE(MATCH($E238,{"Mensuelle","Tous les 2 mois","Trimestrielle","Semestrielle","Annuelle"},0),1,2,3,6,12),2))</f>
        <v/>
      </c>
    </row>
    <row r="239" ht="20" customHeight="1" spans="1:8" x14ac:dyDescent="0.25">
      <c r="A239" s="10"/>
      <c r="B239" s="10"/>
      <c r="C239" s="16"/>
      <c r="D239" s="10"/>
      <c r="E239" s="10"/>
      <c r="F239" s="10"/>
      <c r="G239" s="10"/>
      <c r="H239" s="17" t="str">
        <f>IF(OR($B239="",$C239=""),"",ROUND($C239/CHOOSE(MATCH($E239,{"Mensuelle","Tous les 2 mois","Trimestrielle","Semestrielle","Annuelle"},0),1,2,3,6,12),2))</f>
        <v/>
      </c>
    </row>
    <row r="240" ht="20" customHeight="1" spans="1:8" x14ac:dyDescent="0.25">
      <c r="A240" s="10"/>
      <c r="B240" s="10"/>
      <c r="C240" s="16"/>
      <c r="D240" s="10"/>
      <c r="E240" s="10"/>
      <c r="F240" s="10"/>
      <c r="G240" s="10"/>
      <c r="H240" s="17" t="str">
        <f>IF(OR($B240="",$C240=""),"",ROUND($C240/CHOOSE(MATCH($E240,{"Mensuelle","Tous les 2 mois","Trimestrielle","Semestrielle","Annuelle"},0),1,2,3,6,12),2))</f>
        <v/>
      </c>
    </row>
    <row r="241" ht="20" customHeight="1" spans="1:8" x14ac:dyDescent="0.25">
      <c r="A241" s="10"/>
      <c r="B241" s="10"/>
      <c r="C241" s="16"/>
      <c r="D241" s="10"/>
      <c r="E241" s="10"/>
      <c r="F241" s="10"/>
      <c r="G241" s="10"/>
      <c r="H241" s="17" t="str">
        <f>IF(OR($B241="",$C241=""),"",ROUND($C241/CHOOSE(MATCH($E241,{"Mensuelle","Tous les 2 mois","Trimestrielle","Semestrielle","Annuelle"},0),1,2,3,6,12),2))</f>
        <v/>
      </c>
    </row>
    <row r="242" ht="20" customHeight="1" spans="1:8" x14ac:dyDescent="0.25">
      <c r="A242" s="10"/>
      <c r="B242" s="10"/>
      <c r="C242" s="16"/>
      <c r="D242" s="10"/>
      <c r="E242" s="10"/>
      <c r="F242" s="10"/>
      <c r="G242" s="10"/>
      <c r="H242" s="17" t="str">
        <f>IF(OR($B242="",$C242=""),"",ROUND($C242/CHOOSE(MATCH($E242,{"Mensuelle","Tous les 2 mois","Trimestrielle","Semestrielle","Annuelle"},0),1,2,3,6,12),2))</f>
        <v/>
      </c>
    </row>
    <row r="243" ht="20" customHeight="1" spans="1:8" x14ac:dyDescent="0.25">
      <c r="A243" s="10"/>
      <c r="B243" s="10"/>
      <c r="C243" s="16"/>
      <c r="D243" s="10"/>
      <c r="E243" s="10"/>
      <c r="F243" s="10"/>
      <c r="G243" s="10"/>
      <c r="H243" s="17" t="str">
        <f>IF(OR($B243="",$C243=""),"",ROUND($C243/CHOOSE(MATCH($E243,{"Mensuelle","Tous les 2 mois","Trimestrielle","Semestrielle","Annuelle"},0),1,2,3,6,12),2))</f>
        <v/>
      </c>
    </row>
    <row r="244" ht="20" customHeight="1" spans="1:8" x14ac:dyDescent="0.25">
      <c r="A244" s="10"/>
      <c r="B244" s="10"/>
      <c r="C244" s="16"/>
      <c r="D244" s="10"/>
      <c r="E244" s="10"/>
      <c r="F244" s="10"/>
      <c r="G244" s="10"/>
      <c r="H244" s="17" t="str">
        <f>IF(OR($B244="",$C244=""),"",ROUND($C244/CHOOSE(MATCH($E244,{"Mensuelle","Tous les 2 mois","Trimestrielle","Semestrielle","Annuelle"},0),1,2,3,6,12),2))</f>
        <v/>
      </c>
    </row>
    <row r="245" ht="20" customHeight="1" spans="1:8" x14ac:dyDescent="0.25">
      <c r="A245" s="10"/>
      <c r="B245" s="10"/>
      <c r="C245" s="16"/>
      <c r="D245" s="10"/>
      <c r="E245" s="10"/>
      <c r="F245" s="10"/>
      <c r="G245" s="10"/>
      <c r="H245" s="17" t="str">
        <f>IF(OR($B245="",$C245=""),"",ROUND($C245/CHOOSE(MATCH($E245,{"Mensuelle","Tous les 2 mois","Trimestrielle","Semestrielle","Annuelle"},0),1,2,3,6,12),2))</f>
        <v/>
      </c>
    </row>
    <row r="246" ht="20" customHeight="1" spans="1:8" x14ac:dyDescent="0.25">
      <c r="A246" s="10"/>
      <c r="B246" s="10"/>
      <c r="C246" s="16"/>
      <c r="D246" s="10"/>
      <c r="E246" s="10"/>
      <c r="F246" s="10"/>
      <c r="G246" s="10"/>
      <c r="H246" s="17" t="str">
        <f>IF(OR($B246="",$C246=""),"",ROUND($C246/CHOOSE(MATCH($E246,{"Mensuelle","Tous les 2 mois","Trimestrielle","Semestrielle","Annuelle"},0),1,2,3,6,12),2))</f>
        <v/>
      </c>
    </row>
    <row r="247" ht="20" customHeight="1" spans="1:8" x14ac:dyDescent="0.25">
      <c r="A247" s="10"/>
      <c r="B247" s="10"/>
      <c r="C247" s="16"/>
      <c r="D247" s="10"/>
      <c r="E247" s="10"/>
      <c r="F247" s="10"/>
      <c r="G247" s="10"/>
      <c r="H247" s="17" t="str">
        <f>IF(OR($B247="",$C247=""),"",ROUND($C247/CHOOSE(MATCH($E247,{"Mensuelle","Tous les 2 mois","Trimestrielle","Semestrielle","Annuelle"},0),1,2,3,6,12),2))</f>
        <v/>
      </c>
    </row>
    <row r="248" ht="20" customHeight="1" spans="1:8" x14ac:dyDescent="0.25">
      <c r="A248" s="10"/>
      <c r="B248" s="10"/>
      <c r="C248" s="16"/>
      <c r="D248" s="10"/>
      <c r="E248" s="10"/>
      <c r="F248" s="10"/>
      <c r="G248" s="10"/>
      <c r="H248" s="17" t="str">
        <f>IF(OR($B248="",$C248=""),"",ROUND($C248/CHOOSE(MATCH($E248,{"Mensuelle","Tous les 2 mois","Trimestrielle","Semestrielle","Annuelle"},0),1,2,3,6,12),2))</f>
        <v/>
      </c>
    </row>
    <row r="249" ht="20" customHeight="1" spans="1:8" x14ac:dyDescent="0.25">
      <c r="A249" s="10"/>
      <c r="B249" s="10"/>
      <c r="C249" s="16"/>
      <c r="D249" s="10"/>
      <c r="E249" s="10"/>
      <c r="F249" s="10"/>
      <c r="G249" s="10"/>
      <c r="H249" s="17" t="str">
        <f>IF(OR($B249="",$C249=""),"",ROUND($C249/CHOOSE(MATCH($E249,{"Mensuelle","Tous les 2 mois","Trimestrielle","Semestrielle","Annuelle"},0),1,2,3,6,12),2))</f>
        <v/>
      </c>
    </row>
    <row r="250" ht="20" customHeight="1" spans="1:8" x14ac:dyDescent="0.25">
      <c r="A250" s="10"/>
      <c r="B250" s="10"/>
      <c r="C250" s="16"/>
      <c r="D250" s="10"/>
      <c r="E250" s="10"/>
      <c r="F250" s="10"/>
      <c r="G250" s="10"/>
      <c r="H250" s="17" t="str">
        <f>IF(OR($B250="",$C250=""),"",ROUND($C250/CHOOSE(MATCH($E250,{"Mensuelle","Tous les 2 mois","Trimestrielle","Semestrielle","Annuelle"},0),1,2,3,6,12),2))</f>
        <v/>
      </c>
    </row>
    <row r="251" ht="20" customHeight="1" spans="1:8" x14ac:dyDescent="0.25">
      <c r="A251" s="10"/>
      <c r="B251" s="10"/>
      <c r="C251" s="16"/>
      <c r="D251" s="10"/>
      <c r="E251" s="10"/>
      <c r="F251" s="10"/>
      <c r="G251" s="10"/>
      <c r="H251" s="17" t="str">
        <f>IF(OR($B251="",$C251=""),"",ROUND($C251/CHOOSE(MATCH($E251,{"Mensuelle","Tous les 2 mois","Trimestrielle","Semestrielle","Annuelle"},0),1,2,3,6,12),2))</f>
        <v/>
      </c>
    </row>
    <row r="252" ht="20" customHeight="1" spans="1:8" x14ac:dyDescent="0.25">
      <c r="A252" s="10"/>
      <c r="B252" s="10"/>
      <c r="C252" s="16"/>
      <c r="D252" s="10"/>
      <c r="E252" s="10"/>
      <c r="F252" s="10"/>
      <c r="G252" s="10"/>
      <c r="H252" s="17" t="str">
        <f>IF(OR($B252="",$C252=""),"",ROUND($C252/CHOOSE(MATCH($E252,{"Mensuelle","Tous les 2 mois","Trimestrielle","Semestrielle","Annuelle"},0),1,2,3,6,12),2))</f>
        <v/>
      </c>
    </row>
    <row r="253" ht="20" customHeight="1" spans="1:8" x14ac:dyDescent="0.25">
      <c r="A253" s="10"/>
      <c r="B253" s="10"/>
      <c r="C253" s="16"/>
      <c r="D253" s="10"/>
      <c r="E253" s="10"/>
      <c r="F253" s="10"/>
      <c r="G253" s="10"/>
      <c r="H253" s="17" t="str">
        <f>IF(OR($B253="",$C253=""),"",ROUND($C253/CHOOSE(MATCH($E253,{"Mensuelle","Tous les 2 mois","Trimestrielle","Semestrielle","Annuelle"},0),1,2,3,6,12),2))</f>
        <v/>
      </c>
    </row>
    <row r="254" ht="20" customHeight="1" spans="1:8" x14ac:dyDescent="0.25">
      <c r="A254" s="10"/>
      <c r="B254" s="10"/>
      <c r="C254" s="16"/>
      <c r="D254" s="10"/>
      <c r="E254" s="10"/>
      <c r="F254" s="10"/>
      <c r="G254" s="10"/>
      <c r="H254" s="17" t="str">
        <f>IF(OR($B254="",$C254=""),"",ROUND($C254/CHOOSE(MATCH($E254,{"Mensuelle","Tous les 2 mois","Trimestrielle","Semestrielle","Annuelle"},0),1,2,3,6,12),2))</f>
        <v/>
      </c>
    </row>
    <row r="255" ht="20" customHeight="1" spans="1:8" x14ac:dyDescent="0.25">
      <c r="A255" s="10"/>
      <c r="B255" s="10"/>
      <c r="C255" s="16"/>
      <c r="D255" s="10"/>
      <c r="E255" s="10"/>
      <c r="F255" s="10"/>
      <c r="G255" s="10"/>
      <c r="H255" s="17" t="str">
        <f>IF(OR($B255="",$C255=""),"",ROUND($C255/CHOOSE(MATCH($E255,{"Mensuelle","Tous les 2 mois","Trimestrielle","Semestrielle","Annuelle"},0),1,2,3,6,12),2))</f>
        <v/>
      </c>
    </row>
    <row r="256" ht="20" customHeight="1" spans="1:8" x14ac:dyDescent="0.25">
      <c r="A256" s="10"/>
      <c r="B256" s="10"/>
      <c r="C256" s="16"/>
      <c r="D256" s="10"/>
      <c r="E256" s="10"/>
      <c r="F256" s="10"/>
      <c r="G256" s="10"/>
      <c r="H256" s="17" t="str">
        <f>IF(OR($B256="",$C256=""),"",ROUND($C256/CHOOSE(MATCH($E256,{"Mensuelle","Tous les 2 mois","Trimestrielle","Semestrielle","Annuelle"},0),1,2,3,6,12),2))</f>
        <v/>
      </c>
    </row>
    <row r="257" ht="20" customHeight="1" spans="1:8" x14ac:dyDescent="0.25">
      <c r="A257" s="10"/>
      <c r="B257" s="10"/>
      <c r="C257" s="16"/>
      <c r="D257" s="10"/>
      <c r="E257" s="10"/>
      <c r="F257" s="10"/>
      <c r="G257" s="10"/>
      <c r="H257" s="17" t="str">
        <f>IF(OR($B257="",$C257=""),"",ROUND($C257/CHOOSE(MATCH($E257,{"Mensuelle","Tous les 2 mois","Trimestrielle","Semestrielle","Annuelle"},0),1,2,3,6,12),2))</f>
        <v/>
      </c>
    </row>
    <row r="258" ht="20" customHeight="1" spans="1:8" x14ac:dyDescent="0.25">
      <c r="A258" s="10"/>
      <c r="B258" s="10"/>
      <c r="C258" s="16"/>
      <c r="D258" s="10"/>
      <c r="E258" s="10"/>
      <c r="F258" s="10"/>
      <c r="G258" s="10"/>
      <c r="H258" s="17" t="str">
        <f>IF(OR($B258="",$C258=""),"",ROUND($C258/CHOOSE(MATCH($E258,{"Mensuelle","Tous les 2 mois","Trimestrielle","Semestrielle","Annuelle"},0),1,2,3,6,12),2))</f>
        <v/>
      </c>
    </row>
    <row r="259" ht="20" customHeight="1" spans="1:8" x14ac:dyDescent="0.25">
      <c r="A259" s="10"/>
      <c r="B259" s="10"/>
      <c r="C259" s="16"/>
      <c r="D259" s="10"/>
      <c r="E259" s="10"/>
      <c r="F259" s="10"/>
      <c r="G259" s="10"/>
      <c r="H259" s="17" t="str">
        <f>IF(OR($B259="",$C259=""),"",ROUND($C259/CHOOSE(MATCH($E259,{"Mensuelle","Tous les 2 mois","Trimestrielle","Semestrielle","Annuelle"},0),1,2,3,6,12),2))</f>
        <v/>
      </c>
    </row>
    <row r="260" ht="20" customHeight="1" spans="1:8" x14ac:dyDescent="0.25">
      <c r="A260" s="10"/>
      <c r="B260" s="10"/>
      <c r="C260" s="16"/>
      <c r="D260" s="10"/>
      <c r="E260" s="10"/>
      <c r="F260" s="10"/>
      <c r="G260" s="10"/>
      <c r="H260" s="17" t="str">
        <f>IF(OR($B260="",$C260=""),"",ROUND($C260/CHOOSE(MATCH($E260,{"Mensuelle","Tous les 2 mois","Trimestrielle","Semestrielle","Annuelle"},0),1,2,3,6,12),2))</f>
        <v/>
      </c>
    </row>
    <row r="261" ht="20" customHeight="1" spans="1:8" x14ac:dyDescent="0.25">
      <c r="A261" s="10"/>
      <c r="B261" s="10"/>
      <c r="C261" s="16"/>
      <c r="D261" s="10"/>
      <c r="E261" s="10"/>
      <c r="F261" s="10"/>
      <c r="G261" s="10"/>
      <c r="H261" s="17" t="str">
        <f>IF(OR($B261="",$C261=""),"",ROUND($C261/CHOOSE(MATCH($E261,{"Mensuelle","Tous les 2 mois","Trimestrielle","Semestrielle","Annuelle"},0),1,2,3,6,12),2))</f>
        <v/>
      </c>
    </row>
    <row r="262" ht="20" customHeight="1" spans="1:8" x14ac:dyDescent="0.25">
      <c r="A262" s="10"/>
      <c r="B262" s="10"/>
      <c r="C262" s="16"/>
      <c r="D262" s="10"/>
      <c r="E262" s="10"/>
      <c r="F262" s="10"/>
      <c r="G262" s="10"/>
      <c r="H262" s="17" t="str">
        <f>IF(OR($B262="",$C262=""),"",ROUND($C262/CHOOSE(MATCH($E262,{"Mensuelle","Tous les 2 mois","Trimestrielle","Semestrielle","Annuelle"},0),1,2,3,6,12),2))</f>
        <v/>
      </c>
    </row>
    <row r="263" ht="20" customHeight="1" spans="1:8" x14ac:dyDescent="0.25">
      <c r="A263" s="10"/>
      <c r="B263" s="10"/>
      <c r="C263" s="16"/>
      <c r="D263" s="10"/>
      <c r="E263" s="10"/>
      <c r="F263" s="10"/>
      <c r="G263" s="10"/>
      <c r="H263" s="17" t="str">
        <f>IF(OR($B263="",$C263=""),"",ROUND($C263/CHOOSE(MATCH($E263,{"Mensuelle","Tous les 2 mois","Trimestrielle","Semestrielle","Annuelle"},0),1,2,3,6,12),2))</f>
        <v/>
      </c>
    </row>
    <row r="264" ht="20" customHeight="1" spans="1:8" x14ac:dyDescent="0.25">
      <c r="A264" s="10"/>
      <c r="B264" s="10"/>
      <c r="C264" s="16"/>
      <c r="D264" s="10"/>
      <c r="E264" s="10"/>
      <c r="F264" s="10"/>
      <c r="G264" s="10"/>
      <c r="H264" s="17" t="str">
        <f>IF(OR($B264="",$C264=""),"",ROUND($C264/CHOOSE(MATCH($E264,{"Mensuelle","Tous les 2 mois","Trimestrielle","Semestrielle","Annuelle"},0),1,2,3,6,12),2))</f>
        <v/>
      </c>
    </row>
    <row r="265" ht="20" customHeight="1" spans="1:8" x14ac:dyDescent="0.25">
      <c r="A265" s="10"/>
      <c r="B265" s="10"/>
      <c r="C265" s="16"/>
      <c r="D265" s="10"/>
      <c r="E265" s="10"/>
      <c r="F265" s="10"/>
      <c r="G265" s="10"/>
      <c r="H265" s="17" t="str">
        <f>IF(OR($B265="",$C265=""),"",ROUND($C265/CHOOSE(MATCH($E265,{"Mensuelle","Tous les 2 mois","Trimestrielle","Semestrielle","Annuelle"},0),1,2,3,6,12),2))</f>
        <v/>
      </c>
    </row>
    <row r="266" ht="20" customHeight="1" spans="1:8" x14ac:dyDescent="0.25">
      <c r="A266" s="10"/>
      <c r="B266" s="10"/>
      <c r="C266" s="16"/>
      <c r="D266" s="10"/>
      <c r="E266" s="10"/>
      <c r="F266" s="10"/>
      <c r="G266" s="10"/>
      <c r="H266" s="17" t="str">
        <f>IF(OR($B266="",$C266=""),"",ROUND($C266/CHOOSE(MATCH($E266,{"Mensuelle","Tous les 2 mois","Trimestrielle","Semestrielle","Annuelle"},0),1,2,3,6,12),2))</f>
        <v/>
      </c>
    </row>
    <row r="267" ht="20" customHeight="1" spans="1:8" x14ac:dyDescent="0.25">
      <c r="A267" s="10"/>
      <c r="B267" s="10"/>
      <c r="C267" s="16"/>
      <c r="D267" s="10"/>
      <c r="E267" s="10"/>
      <c r="F267" s="10"/>
      <c r="G267" s="10"/>
      <c r="H267" s="17" t="str">
        <f>IF(OR($B267="",$C267=""),"",ROUND($C267/CHOOSE(MATCH($E267,{"Mensuelle","Tous les 2 mois","Trimestrielle","Semestrielle","Annuelle"},0),1,2,3,6,12),2))</f>
        <v/>
      </c>
    </row>
    <row r="268" ht="20" customHeight="1" spans="1:8" x14ac:dyDescent="0.25">
      <c r="A268" s="10"/>
      <c r="B268" s="10"/>
      <c r="C268" s="16"/>
      <c r="D268" s="10"/>
      <c r="E268" s="10"/>
      <c r="F268" s="10"/>
      <c r="G268" s="10"/>
      <c r="H268" s="17" t="str">
        <f>IF(OR($B268="",$C268=""),"",ROUND($C268/CHOOSE(MATCH($E268,{"Mensuelle","Tous les 2 mois","Trimestrielle","Semestrielle","Annuelle"},0),1,2,3,6,12),2))</f>
        <v/>
      </c>
    </row>
    <row r="269" ht="20" customHeight="1" spans="1:8" x14ac:dyDescent="0.25">
      <c r="A269" s="10"/>
      <c r="B269" s="10"/>
      <c r="C269" s="16"/>
      <c r="D269" s="10"/>
      <c r="E269" s="10"/>
      <c r="F269" s="10"/>
      <c r="G269" s="10"/>
      <c r="H269" s="17" t="str">
        <f>IF(OR($B269="",$C269=""),"",ROUND($C269/CHOOSE(MATCH($E269,{"Mensuelle","Tous les 2 mois","Trimestrielle","Semestrielle","Annuelle"},0),1,2,3,6,12),2))</f>
        <v/>
      </c>
    </row>
    <row r="270" ht="20" customHeight="1" spans="1:8" x14ac:dyDescent="0.25">
      <c r="A270" s="10"/>
      <c r="B270" s="10"/>
      <c r="C270" s="16"/>
      <c r="D270" s="10"/>
      <c r="E270" s="10"/>
      <c r="F270" s="10"/>
      <c r="G270" s="10"/>
      <c r="H270" s="17" t="str">
        <f>IF(OR($B270="",$C270=""),"",ROUND($C270/CHOOSE(MATCH($E270,{"Mensuelle","Tous les 2 mois","Trimestrielle","Semestrielle","Annuelle"},0),1,2,3,6,12),2))</f>
        <v/>
      </c>
    </row>
    <row r="271" ht="20" customHeight="1" spans="1:8" x14ac:dyDescent="0.25">
      <c r="A271" s="10"/>
      <c r="B271" s="10"/>
      <c r="C271" s="16"/>
      <c r="D271" s="10"/>
      <c r="E271" s="10"/>
      <c r="F271" s="10"/>
      <c r="G271" s="10"/>
      <c r="H271" s="17" t="str">
        <f>IF(OR($B271="",$C271=""),"",ROUND($C271/CHOOSE(MATCH($E271,{"Mensuelle","Tous les 2 mois","Trimestrielle","Semestrielle","Annuelle"},0),1,2,3,6,12),2))</f>
        <v/>
      </c>
    </row>
    <row r="272" ht="20" customHeight="1" spans="1:8" x14ac:dyDescent="0.25">
      <c r="A272" s="10"/>
      <c r="B272" s="10"/>
      <c r="C272" s="16"/>
      <c r="D272" s="10"/>
      <c r="E272" s="10"/>
      <c r="F272" s="10"/>
      <c r="G272" s="10"/>
      <c r="H272" s="17" t="str">
        <f>IF(OR($B272="",$C272=""),"",ROUND($C272/CHOOSE(MATCH($E272,{"Mensuelle","Tous les 2 mois","Trimestrielle","Semestrielle","Annuelle"},0),1,2,3,6,12),2))</f>
        <v/>
      </c>
    </row>
    <row r="273" ht="20" customHeight="1" spans="1:8" x14ac:dyDescent="0.25">
      <c r="A273" s="10"/>
      <c r="B273" s="10"/>
      <c r="C273" s="16"/>
      <c r="D273" s="10"/>
      <c r="E273" s="10"/>
      <c r="F273" s="10"/>
      <c r="G273" s="10"/>
      <c r="H273" s="17" t="str">
        <f>IF(OR($B273="",$C273=""),"",ROUND($C273/CHOOSE(MATCH($E273,{"Mensuelle","Tous les 2 mois","Trimestrielle","Semestrielle","Annuelle"},0),1,2,3,6,12),2))</f>
        <v/>
      </c>
    </row>
    <row r="274" ht="20" customHeight="1" spans="1:8" x14ac:dyDescent="0.25">
      <c r="A274" s="10"/>
      <c r="B274" s="10"/>
      <c r="C274" s="16"/>
      <c r="D274" s="10"/>
      <c r="E274" s="10"/>
      <c r="F274" s="10"/>
      <c r="G274" s="10"/>
      <c r="H274" s="17" t="str">
        <f>IF(OR($B274="",$C274=""),"",ROUND($C274/CHOOSE(MATCH($E274,{"Mensuelle","Tous les 2 mois","Trimestrielle","Semestrielle","Annuelle"},0),1,2,3,6,12),2))</f>
        <v/>
      </c>
    </row>
    <row r="275" ht="20" customHeight="1" spans="1:8" x14ac:dyDescent="0.25">
      <c r="A275" s="10"/>
      <c r="B275" s="10"/>
      <c r="C275" s="16"/>
      <c r="D275" s="10"/>
      <c r="E275" s="10"/>
      <c r="F275" s="10"/>
      <c r="G275" s="10"/>
      <c r="H275" s="17" t="str">
        <f>IF(OR($B275="",$C275=""),"",ROUND($C275/CHOOSE(MATCH($E275,{"Mensuelle","Tous les 2 mois","Trimestrielle","Semestrielle","Annuelle"},0),1,2,3,6,12),2))</f>
        <v/>
      </c>
    </row>
    <row r="276" ht="20" customHeight="1" spans="1:8" x14ac:dyDescent="0.25">
      <c r="A276" s="10"/>
      <c r="B276" s="10"/>
      <c r="C276" s="16"/>
      <c r="D276" s="10"/>
      <c r="E276" s="10"/>
      <c r="F276" s="10"/>
      <c r="G276" s="10"/>
      <c r="H276" s="17" t="str">
        <f>IF(OR($B276="",$C276=""),"",ROUND($C276/CHOOSE(MATCH($E276,{"Mensuelle","Tous les 2 mois","Trimestrielle","Semestrielle","Annuelle"},0),1,2,3,6,12),2))</f>
        <v/>
      </c>
    </row>
    <row r="277" ht="20" customHeight="1" spans="1:8" x14ac:dyDescent="0.25">
      <c r="A277" s="10"/>
      <c r="B277" s="10"/>
      <c r="C277" s="16"/>
      <c r="D277" s="10"/>
      <c r="E277" s="10"/>
      <c r="F277" s="10"/>
      <c r="G277" s="10"/>
      <c r="H277" s="17" t="str">
        <f>IF(OR($B277="",$C277=""),"",ROUND($C277/CHOOSE(MATCH($E277,{"Mensuelle","Tous les 2 mois","Trimestrielle","Semestrielle","Annuelle"},0),1,2,3,6,12),2))</f>
        <v/>
      </c>
    </row>
    <row r="278" ht="20" customHeight="1" spans="1:8" x14ac:dyDescent="0.25">
      <c r="A278" s="10"/>
      <c r="B278" s="10"/>
      <c r="C278" s="16"/>
      <c r="D278" s="10"/>
      <c r="E278" s="10"/>
      <c r="F278" s="10"/>
      <c r="G278" s="10"/>
      <c r="H278" s="17" t="str">
        <f>IF(OR($B278="",$C278=""),"",ROUND($C278/CHOOSE(MATCH($E278,{"Mensuelle","Tous les 2 mois","Trimestrielle","Semestrielle","Annuelle"},0),1,2,3,6,12),2))</f>
        <v/>
      </c>
    </row>
    <row r="279" ht="20" customHeight="1" spans="1:8" x14ac:dyDescent="0.25">
      <c r="A279" s="10"/>
      <c r="B279" s="10"/>
      <c r="C279" s="16"/>
      <c r="D279" s="10"/>
      <c r="E279" s="10"/>
      <c r="F279" s="10"/>
      <c r="G279" s="10"/>
      <c r="H279" s="17" t="str">
        <f>IF(OR($B279="",$C279=""),"",ROUND($C279/CHOOSE(MATCH($E279,{"Mensuelle","Tous les 2 mois","Trimestrielle","Semestrielle","Annuelle"},0),1,2,3,6,12),2))</f>
        <v/>
      </c>
    </row>
    <row r="280" ht="20" customHeight="1" spans="1:8" x14ac:dyDescent="0.25">
      <c r="A280" s="10"/>
      <c r="B280" s="10"/>
      <c r="C280" s="16"/>
      <c r="D280" s="10"/>
      <c r="E280" s="10"/>
      <c r="F280" s="10"/>
      <c r="G280" s="10"/>
      <c r="H280" s="17" t="str">
        <f>IF(OR($B280="",$C280=""),"",ROUND($C280/CHOOSE(MATCH($E280,{"Mensuelle","Tous les 2 mois","Trimestrielle","Semestrielle","Annuelle"},0),1,2,3,6,12),2))</f>
        <v/>
      </c>
    </row>
    <row r="281" ht="20" customHeight="1" spans="1:8" x14ac:dyDescent="0.25">
      <c r="A281" s="10"/>
      <c r="B281" s="10"/>
      <c r="C281" s="16"/>
      <c r="D281" s="10"/>
      <c r="E281" s="10"/>
      <c r="F281" s="10"/>
      <c r="G281" s="10"/>
      <c r="H281" s="17" t="str">
        <f>IF(OR($B281="",$C281=""),"",ROUND($C281/CHOOSE(MATCH($E281,{"Mensuelle","Tous les 2 mois","Trimestrielle","Semestrielle","Annuelle"},0),1,2,3,6,12),2))</f>
        <v/>
      </c>
    </row>
    <row r="282" ht="20" customHeight="1" spans="1:8" x14ac:dyDescent="0.25">
      <c r="A282" s="10"/>
      <c r="B282" s="10"/>
      <c r="C282" s="16"/>
      <c r="D282" s="10"/>
      <c r="E282" s="10"/>
      <c r="F282" s="10"/>
      <c r="G282" s="10"/>
      <c r="H282" s="17" t="str">
        <f>IF(OR($B282="",$C282=""),"",ROUND($C282/CHOOSE(MATCH($E282,{"Mensuelle","Tous les 2 mois","Trimestrielle","Semestrielle","Annuelle"},0),1,2,3,6,12),2))</f>
        <v/>
      </c>
    </row>
    <row r="283" ht="20" customHeight="1" spans="1:8" x14ac:dyDescent="0.25">
      <c r="A283" s="10"/>
      <c r="B283" s="10"/>
      <c r="C283" s="16"/>
      <c r="D283" s="10"/>
      <c r="E283" s="10"/>
      <c r="F283" s="10"/>
      <c r="G283" s="10"/>
      <c r="H283" s="17" t="str">
        <f>IF(OR($B283="",$C283=""),"",ROUND($C283/CHOOSE(MATCH($E283,{"Mensuelle","Tous les 2 mois","Trimestrielle","Semestrielle","Annuelle"},0),1,2,3,6,12),2))</f>
        <v/>
      </c>
    </row>
    <row r="284" ht="20" customHeight="1" spans="1:8" x14ac:dyDescent="0.25">
      <c r="A284" s="10"/>
      <c r="B284" s="10"/>
      <c r="C284" s="16"/>
      <c r="D284" s="10"/>
      <c r="E284" s="10"/>
      <c r="F284" s="10"/>
      <c r="G284" s="10"/>
      <c r="H284" s="17" t="str">
        <f>IF(OR($B284="",$C284=""),"",ROUND($C284/CHOOSE(MATCH($E284,{"Mensuelle","Tous les 2 mois","Trimestrielle","Semestrielle","Annuelle"},0),1,2,3,6,12),2))</f>
        <v/>
      </c>
    </row>
    <row r="285" ht="20" customHeight="1" spans="1:8" x14ac:dyDescent="0.25">
      <c r="A285" s="10"/>
      <c r="B285" s="10"/>
      <c r="C285" s="16"/>
      <c r="D285" s="10"/>
      <c r="E285" s="10"/>
      <c r="F285" s="10"/>
      <c r="G285" s="10"/>
      <c r="H285" s="17" t="str">
        <f>IF(OR($B285="",$C285=""),"",ROUND($C285/CHOOSE(MATCH($E285,{"Mensuelle","Tous les 2 mois","Trimestrielle","Semestrielle","Annuelle"},0),1,2,3,6,12),2))</f>
        <v/>
      </c>
    </row>
    <row r="286" ht="20" customHeight="1" spans="1:8" x14ac:dyDescent="0.25">
      <c r="A286" s="10"/>
      <c r="B286" s="10"/>
      <c r="C286" s="16"/>
      <c r="D286" s="10"/>
      <c r="E286" s="10"/>
      <c r="F286" s="10"/>
      <c r="G286" s="10"/>
      <c r="H286" s="17" t="str">
        <f>IF(OR($B286="",$C286=""),"",ROUND($C286/CHOOSE(MATCH($E286,{"Mensuelle","Tous les 2 mois","Trimestrielle","Semestrielle","Annuelle"},0),1,2,3,6,12),2))</f>
        <v/>
      </c>
    </row>
    <row r="287" ht="20" customHeight="1" spans="1:8" x14ac:dyDescent="0.25">
      <c r="A287" s="10"/>
      <c r="B287" s="10"/>
      <c r="C287" s="16"/>
      <c r="D287" s="10"/>
      <c r="E287" s="10"/>
      <c r="F287" s="10"/>
      <c r="G287" s="10"/>
      <c r="H287" s="17" t="str">
        <f>IF(OR($B287="",$C287=""),"",ROUND($C287/CHOOSE(MATCH($E287,{"Mensuelle","Tous les 2 mois","Trimestrielle","Semestrielle","Annuelle"},0),1,2,3,6,12),2))</f>
        <v/>
      </c>
    </row>
    <row r="288" ht="20" customHeight="1" spans="1:8" x14ac:dyDescent="0.25">
      <c r="A288" s="10"/>
      <c r="B288" s="10"/>
      <c r="C288" s="16"/>
      <c r="D288" s="10"/>
      <c r="E288" s="10"/>
      <c r="F288" s="10"/>
      <c r="G288" s="10"/>
      <c r="H288" s="17" t="str">
        <f>IF(OR($B288="",$C288=""),"",ROUND($C288/CHOOSE(MATCH($E288,{"Mensuelle","Tous les 2 mois","Trimestrielle","Semestrielle","Annuelle"},0),1,2,3,6,12),2))</f>
        <v/>
      </c>
    </row>
    <row r="289" ht="20" customHeight="1" spans="1:8" x14ac:dyDescent="0.25">
      <c r="A289" s="10"/>
      <c r="B289" s="10"/>
      <c r="C289" s="16"/>
      <c r="D289" s="10"/>
      <c r="E289" s="10"/>
      <c r="F289" s="10"/>
      <c r="G289" s="10"/>
      <c r="H289" s="17" t="str">
        <f>IF(OR($B289="",$C289=""),"",ROUND($C289/CHOOSE(MATCH($E289,{"Mensuelle","Tous les 2 mois","Trimestrielle","Semestrielle","Annuelle"},0),1,2,3,6,12),2))</f>
        <v/>
      </c>
    </row>
    <row r="290" ht="20" customHeight="1" spans="1:8" x14ac:dyDescent="0.25">
      <c r="A290" s="10"/>
      <c r="B290" s="10"/>
      <c r="C290" s="16"/>
      <c r="D290" s="10"/>
      <c r="E290" s="10"/>
      <c r="F290" s="10"/>
      <c r="G290" s="10"/>
      <c r="H290" s="17" t="str">
        <f>IF(OR($B290="",$C290=""),"",ROUND($C290/CHOOSE(MATCH($E290,{"Mensuelle","Tous les 2 mois","Trimestrielle","Semestrielle","Annuelle"},0),1,2,3,6,12),2))</f>
        <v/>
      </c>
    </row>
    <row r="291" ht="20" customHeight="1" spans="1:8" x14ac:dyDescent="0.25">
      <c r="A291" s="10"/>
      <c r="B291" s="10"/>
      <c r="C291" s="16"/>
      <c r="D291" s="10"/>
      <c r="E291" s="10"/>
      <c r="F291" s="10"/>
      <c r="G291" s="10"/>
      <c r="H291" s="17" t="str">
        <f>IF(OR($B291="",$C291=""),"",ROUND($C291/CHOOSE(MATCH($E291,{"Mensuelle","Tous les 2 mois","Trimestrielle","Semestrielle","Annuelle"},0),1,2,3,6,12),2))</f>
        <v/>
      </c>
    </row>
    <row r="292" ht="20" customHeight="1" spans="1:8" x14ac:dyDescent="0.25">
      <c r="A292" s="10"/>
      <c r="B292" s="10"/>
      <c r="C292" s="16"/>
      <c r="D292" s="10"/>
      <c r="E292" s="10"/>
      <c r="F292" s="10"/>
      <c r="G292" s="10"/>
      <c r="H292" s="17" t="str">
        <f>IF(OR($B292="",$C292=""),"",ROUND($C292/CHOOSE(MATCH($E292,{"Mensuelle","Tous les 2 mois","Trimestrielle","Semestrielle","Annuelle"},0),1,2,3,6,12),2))</f>
        <v/>
      </c>
    </row>
    <row r="293" ht="20" customHeight="1" spans="1:8" x14ac:dyDescent="0.25">
      <c r="A293" s="10"/>
      <c r="B293" s="10"/>
      <c r="C293" s="16"/>
      <c r="D293" s="10"/>
      <c r="E293" s="10"/>
      <c r="F293" s="10"/>
      <c r="G293" s="10"/>
      <c r="H293" s="17" t="str">
        <f>IF(OR($B293="",$C293=""),"",ROUND($C293/CHOOSE(MATCH($E293,{"Mensuelle","Tous les 2 mois","Trimestrielle","Semestrielle","Annuelle"},0),1,2,3,6,12),2))</f>
        <v/>
      </c>
    </row>
    <row r="294" ht="20" customHeight="1" spans="1:8" x14ac:dyDescent="0.25">
      <c r="A294" s="10"/>
      <c r="B294" s="10"/>
      <c r="C294" s="16"/>
      <c r="D294" s="10"/>
      <c r="E294" s="10"/>
      <c r="F294" s="10"/>
      <c r="G294" s="10"/>
      <c r="H294" s="17" t="str">
        <f>IF(OR($B294="",$C294=""),"",ROUND($C294/CHOOSE(MATCH($E294,{"Mensuelle","Tous les 2 mois","Trimestrielle","Semestrielle","Annuelle"},0),1,2,3,6,12),2))</f>
        <v/>
      </c>
    </row>
    <row r="295" ht="20" customHeight="1" spans="1:8" x14ac:dyDescent="0.25">
      <c r="A295" s="10"/>
      <c r="B295" s="10"/>
      <c r="C295" s="16"/>
      <c r="D295" s="10"/>
      <c r="E295" s="10"/>
      <c r="F295" s="10"/>
      <c r="G295" s="10"/>
      <c r="H295" s="17" t="str">
        <f>IF(OR($B295="",$C295=""),"",ROUND($C295/CHOOSE(MATCH($E295,{"Mensuelle","Tous les 2 mois","Trimestrielle","Semestrielle","Annuelle"},0),1,2,3,6,12),2))</f>
        <v/>
      </c>
    </row>
    <row r="296" ht="20" customHeight="1" spans="1:8" x14ac:dyDescent="0.25">
      <c r="A296" s="10"/>
      <c r="B296" s="10"/>
      <c r="C296" s="16"/>
      <c r="D296" s="10"/>
      <c r="E296" s="10"/>
      <c r="F296" s="10"/>
      <c r="G296" s="10"/>
      <c r="H296" s="17" t="str">
        <f>IF(OR($B296="",$C296=""),"",ROUND($C296/CHOOSE(MATCH($E296,{"Mensuelle","Tous les 2 mois","Trimestrielle","Semestrielle","Annuelle"},0),1,2,3,6,12),2))</f>
        <v/>
      </c>
    </row>
    <row r="297" ht="20" customHeight="1" spans="1:8" x14ac:dyDescent="0.25">
      <c r="A297" s="10"/>
      <c r="B297" s="10"/>
      <c r="C297" s="16"/>
      <c r="D297" s="10"/>
      <c r="E297" s="10"/>
      <c r="F297" s="10"/>
      <c r="G297" s="10"/>
      <c r="H297" s="17" t="str">
        <f>IF(OR($B297="",$C297=""),"",ROUND($C297/CHOOSE(MATCH($E297,{"Mensuelle","Tous les 2 mois","Trimestrielle","Semestrielle","Annuelle"},0),1,2,3,6,12),2))</f>
        <v/>
      </c>
    </row>
    <row r="298" ht="20" customHeight="1" spans="1:8" x14ac:dyDescent="0.25">
      <c r="A298" s="10"/>
      <c r="B298" s="10"/>
      <c r="C298" s="16"/>
      <c r="D298" s="10"/>
      <c r="E298" s="10"/>
      <c r="F298" s="10"/>
      <c r="G298" s="10"/>
      <c r="H298" s="17" t="str">
        <f>IF(OR($B298="",$C298=""),"",ROUND($C298/CHOOSE(MATCH($E298,{"Mensuelle","Tous les 2 mois","Trimestrielle","Semestrielle","Annuelle"},0),1,2,3,6,12),2))</f>
        <v/>
      </c>
    </row>
    <row r="299" ht="20" customHeight="1" spans="1:8" x14ac:dyDescent="0.25">
      <c r="A299" s="10"/>
      <c r="B299" s="10"/>
      <c r="C299" s="16"/>
      <c r="D299" s="10"/>
      <c r="E299" s="10"/>
      <c r="F299" s="10"/>
      <c r="G299" s="10"/>
      <c r="H299" s="17" t="str">
        <f>IF(OR($B299="",$C299=""),"",ROUND($C299/CHOOSE(MATCH($E299,{"Mensuelle","Tous les 2 mois","Trimestrielle","Semestrielle","Annuelle"},0),1,2,3,6,12),2))</f>
        <v/>
      </c>
    </row>
    <row r="300" ht="20" customHeight="1" spans="1:8" x14ac:dyDescent="0.25">
      <c r="A300" s="10"/>
      <c r="B300" s="10"/>
      <c r="C300" s="16"/>
      <c r="D300" s="10"/>
      <c r="E300" s="10"/>
      <c r="F300" s="10"/>
      <c r="G300" s="10"/>
      <c r="H300" s="17" t="str">
        <f>IF(OR($B300="",$C300=""),"",ROUND($C300/CHOOSE(MATCH($E300,{"Mensuelle","Tous les 2 mois","Trimestrielle","Semestrielle","Annuelle"},0),1,2,3,6,12),2))</f>
        <v/>
      </c>
    </row>
    <row r="301" ht="20" customHeight="1" spans="1:8" x14ac:dyDescent="0.25">
      <c r="A301" s="10"/>
      <c r="B301" s="10"/>
      <c r="C301" s="16"/>
      <c r="D301" s="10"/>
      <c r="E301" s="10"/>
      <c r="F301" s="10"/>
      <c r="G301" s="10"/>
      <c r="H301" s="17" t="str">
        <f>IF(OR($B301="",$C301=""),"",ROUND($C301/CHOOSE(MATCH($E301,{"Mensuelle","Tous les 2 mois","Trimestrielle","Semestrielle","Annuelle"},0),1,2,3,6,12),2))</f>
        <v/>
      </c>
    </row>
    <row r="302" ht="20" customHeight="1" spans="1:8" x14ac:dyDescent="0.25">
      <c r="A302" s="10"/>
      <c r="B302" s="10"/>
      <c r="C302" s="16"/>
      <c r="D302" s="10"/>
      <c r="E302" s="10"/>
      <c r="F302" s="10"/>
      <c r="G302" s="10"/>
      <c r="H302" s="17" t="str">
        <f>IF(OR($B302="",$C302=""),"",ROUND($C302/CHOOSE(MATCH($E302,{"Mensuelle","Tous les 2 mois","Trimestrielle","Semestrielle","Annuelle"},0),1,2,3,6,12),2))</f>
        <v/>
      </c>
    </row>
    <row r="303" ht="20" customHeight="1" spans="1:8" x14ac:dyDescent="0.25">
      <c r="A303" s="10"/>
      <c r="B303" s="10"/>
      <c r="C303" s="16"/>
      <c r="D303" s="10"/>
      <c r="E303" s="10"/>
      <c r="F303" s="10"/>
      <c r="G303" s="10"/>
      <c r="H303" s="17" t="str">
        <f>IF(OR($B303="",$C303=""),"",ROUND($C303/CHOOSE(MATCH($E303,{"Mensuelle","Tous les 2 mois","Trimestrielle","Semestrielle","Annuelle"},0),1,2,3,6,12),2))</f>
        <v/>
      </c>
    </row>
    <row r="304" ht="20" customHeight="1" spans="1:8" x14ac:dyDescent="0.25">
      <c r="A304" s="10"/>
      <c r="B304" s="10"/>
      <c r="C304" s="16"/>
      <c r="D304" s="10"/>
      <c r="E304" s="10"/>
      <c r="F304" s="10"/>
      <c r="G304" s="10"/>
      <c r="H304" s="17" t="str">
        <f>IF(OR($B304="",$C304=""),"",ROUND($C304/CHOOSE(MATCH($E304,{"Mensuelle","Tous les 2 mois","Trimestrielle","Semestrielle","Annuelle"},0),1,2,3,6,12),2))</f>
        <v/>
      </c>
    </row>
  </sheetData>
  <autoFilter ref="B1:H1"/>
  <dataValidations count="5">
    <dataValidation type="decimal" operator="greaterThanOrEqual" allowBlank="1" showErrorMessage="1" errorTitle="Montant" error="Saisis un montant positif." sqref="C2:C5000">
      <formula1>0</formula1>
    </dataValidation>
    <dataValidation type="list" allowBlank="1" showErrorMessage="1" errorStyle="stop" errorTitle="Catégorie" error="Choisis une valeur dans la liste." sqref="D2:D5000">
      <formula1>'Catégories'!$A$2:$A$200</formula1>
    </dataValidation>
    <dataValidation type="list" allowBlank="1" showErrorMessage="1" errorStyle="stop" errorTitle="Fréquence" error="Choisis une valeur dans la liste." sqref="E2:E5000">
      <formula1>"Mensuelle,Tous les 2 mois,Trimestrielle,Semestrielle,Annuelle"</formula1>
    </dataValidation>
    <dataValidation type="whole" allowBlank="1" showErrorMessage="1" errorTitle="Jour de prélèvement" error="Saisis un jour entre 1 et 28." sqref="F2:F5000">
      <formula1>1</formula1>
      <formula2>28</formula2>
    </dataValidation>
    <dataValidation type="list" allowBlank="1" showErrorMessage="1" errorStyle="stop" errorTitle="Active" error="Choisis une valeur dans la liste." sqref="G2:G50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B63"/>
  </sheetPr>
  <dimension ref="A1:L6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hidden="1" customWidth="1"/>
    <col min="2" max="2" width="16" style="18" customWidth="1"/>
    <col min="3" max="3" width="12" customWidth="1"/>
    <col min="4" max="5" width="18" style="13" customWidth="1"/>
    <col min="6" max="7" width="16" style="13" customWidth="1"/>
    <col min="8" max="8" width="18" style="13" customWidth="1"/>
    <col min="9" max="9" width="14" style="13" customWidth="1"/>
    <col min="10" max="10" width="14" style="19" customWidth="1"/>
    <col min="11" max="11" width="18" style="13" customWidth="1"/>
    <col min="12" max="12" width="20" style="13" customWidth="1"/>
  </cols>
  <sheetData>
    <row r="1" ht="30" customHeight="1" spans="1:12" x14ac:dyDescent="0.25">
      <c r="A1" s="8" t="s">
        <v>36</v>
      </c>
      <c r="B1" s="20" t="s">
        <v>54</v>
      </c>
      <c r="C1" s="8" t="s">
        <v>55</v>
      </c>
      <c r="D1" s="14" t="s">
        <v>56</v>
      </c>
      <c r="E1" s="14" t="s">
        <v>57</v>
      </c>
      <c r="F1" s="15" t="s">
        <v>58</v>
      </c>
      <c r="G1" s="15" t="s">
        <v>59</v>
      </c>
      <c r="H1" s="15" t="s">
        <v>60</v>
      </c>
      <c r="I1" s="15" t="s">
        <v>61</v>
      </c>
      <c r="J1" s="21" t="s">
        <v>62</v>
      </c>
      <c r="K1" s="15" t="s">
        <v>63</v>
      </c>
      <c r="L1" s="15" t="s">
        <v>64</v>
      </c>
    </row>
    <row r="2" ht="20" customHeight="1" spans="1:12" x14ac:dyDescent="0.25">
      <c r="A2" s="10" t="s">
        <v>65</v>
      </c>
      <c r="B2" s="22" t="s">
        <v>66</v>
      </c>
      <c r="C2" s="10" t="s">
        <v>67</v>
      </c>
      <c r="D2" s="16"/>
      <c r="E2" s="16"/>
      <c r="F2" s="17">
        <f>IF($B2="","",IF($D2&lt;&gt;"",$D2,N('Réglages'!$B$2)))</f>
        <v>1000</v>
      </c>
      <c r="G2" s="17">
        <f>IF($B2="","",SUMPRODUCT(--('Transactions'!$B$2:$B$5000=$B2),--('Transactions'!$C$2:$C$5000="Revenu"),'Transactions'!$E$2:$E$5000))</f>
        <v>2000</v>
      </c>
      <c r="H2" s="17">
        <f>IF($B2="","",SUMPRODUCT(--('Transactions'!$B$2:$B$5000=$B2),--('Transactions'!$C$2:$C$5000&lt;&gt;"Revenu"),--('Transactions'!$F$2:$F$5000&lt;&gt;'Réglages'!$B$3),'Transactions'!$E$2:$E$5000))</f>
        <v>670.5</v>
      </c>
      <c r="I2" s="17">
        <f>IF($B2="","",SUMPRODUCT(--('Transactions'!$B$2:$B$5000=$B2),--('Transactions'!$F$2:$F$5000='Réglages'!$B$3),'Transactions'!$E$2:$E$5000))</f>
        <v>200</v>
      </c>
      <c r="J2" s="23">
        <f>IF($B2="","",IF($G2&gt;0,$I2/$G2,0))</f>
        <v>0.1</v>
      </c>
      <c r="K2" s="17">
        <f>IF($B2="","",$G2-$H2-$I2)</f>
        <v>1129.5</v>
      </c>
      <c r="L2" s="17">
        <f>IF($B2="","",$F2+$K2)</f>
        <v>2129.5</v>
      </c>
    </row>
    <row r="3" ht="20" customHeight="1" spans="1:12" x14ac:dyDescent="0.25">
      <c r="A3" s="10" t="s">
        <v>68</v>
      </c>
      <c r="B3" s="22" t="s">
        <v>69</v>
      </c>
      <c r="C3" s="10" t="s">
        <v>70</v>
      </c>
      <c r="D3" s="16"/>
      <c r="E3" s="16">
        <v>1234.5</v>
      </c>
      <c r="F3" s="17">
        <f>IF($B3="","",IF($D3&lt;&gt;"",$D3,N($L2)))</f>
        <v>2129.5</v>
      </c>
      <c r="G3" s="17">
        <f>IF($B3="","",SUMPRODUCT(--('Transactions'!$B$2:$B$5000=$B3),--('Transactions'!$C$2:$C$5000="Revenu"),'Transactions'!$E$2:$E$5000))</f>
        <v>2000</v>
      </c>
      <c r="H3" s="17">
        <f>IF($B3="","",SUMPRODUCT(--('Transactions'!$B$2:$B$5000=$B3),--('Transactions'!$C$2:$C$5000&lt;&gt;"Revenu"),--('Transactions'!$F$2:$F$5000&lt;&gt;'Réglages'!$B$3),'Transactions'!$E$2:$E$5000))</f>
        <v>558.2</v>
      </c>
      <c r="I3" s="17">
        <f>IF($B3="","",SUMPRODUCT(--('Transactions'!$B$2:$B$5000=$B3),--('Transactions'!$F$2:$F$5000='Réglages'!$B$3),'Transactions'!$E$2:$E$5000))</f>
        <v>200</v>
      </c>
      <c r="J3" s="23">
        <f>IF($B3="","",IF($G3&gt;0,$I3/$G3,0))</f>
        <v>0.1</v>
      </c>
      <c r="K3" s="17">
        <f>IF($B3="","",$G3-$H3-$I3)</f>
        <v>1241.8000000000002</v>
      </c>
      <c r="L3" s="17">
        <f>IF($B3="","",$F3+$K3)</f>
        <v>3371.3</v>
      </c>
    </row>
    <row r="4" ht="20" customHeight="1" spans="1:12" x14ac:dyDescent="0.25">
      <c r="A4" s="10"/>
      <c r="B4" s="22"/>
      <c r="C4" s="10"/>
      <c r="D4" s="16"/>
      <c r="E4" s="16"/>
      <c r="F4" s="17" t="str">
        <f>IF($B4="","",IF($D4&lt;&gt;"",$D4,N($L3)))</f>
        <v/>
      </c>
      <c r="G4" s="17" t="str">
        <f>IF($B4="","",SUMPRODUCT(--('Transactions'!$B$2:$B$5000=$B4),--('Transactions'!$C$2:$C$5000="Revenu"),'Transactions'!$E$2:$E$5000))</f>
        <v/>
      </c>
      <c r="H4" s="17" t="str">
        <f>IF($B4="","",SUMPRODUCT(--('Transactions'!$B$2:$B$5000=$B4),--('Transactions'!$C$2:$C$5000&lt;&gt;"Revenu"),--('Transactions'!$F$2:$F$5000&lt;&gt;'Réglages'!$B$3),'Transactions'!$E$2:$E$5000))</f>
        <v/>
      </c>
      <c r="I4" s="17" t="str">
        <f>IF($B4="","",SUMPRODUCT(--('Transactions'!$B$2:$B$5000=$B4),--('Transactions'!$F$2:$F$5000='Réglages'!$B$3),'Transactions'!$E$2:$E$5000))</f>
        <v/>
      </c>
      <c r="J4" s="23" t="str">
        <f>IF($B4="","",IF($G4&gt;0,$I4/$G4,0))</f>
        <v/>
      </c>
      <c r="K4" s="17" t="str">
        <f>IF($B4="","",$G4-$H4-$I4)</f>
        <v/>
      </c>
      <c r="L4" s="17" t="str">
        <f>IF($B4="","",$F4+$K4)</f>
        <v/>
      </c>
    </row>
    <row r="5" ht="20" customHeight="1" spans="1:12" x14ac:dyDescent="0.25">
      <c r="A5" s="10"/>
      <c r="B5" s="22"/>
      <c r="C5" s="10"/>
      <c r="D5" s="16"/>
      <c r="E5" s="16"/>
      <c r="F5" s="17" t="str">
        <f>IF($B5="","",IF($D5&lt;&gt;"",$D5,N($L4)))</f>
        <v/>
      </c>
      <c r="G5" s="17" t="str">
        <f>IF($B5="","",SUMPRODUCT(--('Transactions'!$B$2:$B$5000=$B5),--('Transactions'!$C$2:$C$5000="Revenu"),'Transactions'!$E$2:$E$5000))</f>
        <v/>
      </c>
      <c r="H5" s="17" t="str">
        <f>IF($B5="","",SUMPRODUCT(--('Transactions'!$B$2:$B$5000=$B5),--('Transactions'!$C$2:$C$5000&lt;&gt;"Revenu"),--('Transactions'!$F$2:$F$5000&lt;&gt;'Réglages'!$B$3),'Transactions'!$E$2:$E$5000))</f>
        <v/>
      </c>
      <c r="I5" s="17" t="str">
        <f>IF($B5="","",SUMPRODUCT(--('Transactions'!$B$2:$B$5000=$B5),--('Transactions'!$F$2:$F$5000='Réglages'!$B$3),'Transactions'!$E$2:$E$5000))</f>
        <v/>
      </c>
      <c r="J5" s="23" t="str">
        <f>IF($B5="","",IF($G5&gt;0,$I5/$G5,0))</f>
        <v/>
      </c>
      <c r="K5" s="17" t="str">
        <f>IF($B5="","",$G5-$H5-$I5)</f>
        <v/>
      </c>
      <c r="L5" s="17" t="str">
        <f>IF($B5="","",$F5+$K5)</f>
        <v/>
      </c>
    </row>
    <row r="6" ht="20" customHeight="1" spans="1:12" x14ac:dyDescent="0.25">
      <c r="A6" s="10"/>
      <c r="B6" s="22"/>
      <c r="C6" s="10"/>
      <c r="D6" s="16"/>
      <c r="E6" s="16"/>
      <c r="F6" s="17" t="str">
        <f>IF($B6="","",IF($D6&lt;&gt;"",$D6,N($L5)))</f>
        <v/>
      </c>
      <c r="G6" s="17" t="str">
        <f>IF($B6="","",SUMPRODUCT(--('Transactions'!$B$2:$B$5000=$B6),--('Transactions'!$C$2:$C$5000="Revenu"),'Transactions'!$E$2:$E$5000))</f>
        <v/>
      </c>
      <c r="H6" s="17" t="str">
        <f>IF($B6="","",SUMPRODUCT(--('Transactions'!$B$2:$B$5000=$B6),--('Transactions'!$C$2:$C$5000&lt;&gt;"Revenu"),--('Transactions'!$F$2:$F$5000&lt;&gt;'Réglages'!$B$3),'Transactions'!$E$2:$E$5000))</f>
        <v/>
      </c>
      <c r="I6" s="17" t="str">
        <f>IF($B6="","",SUMPRODUCT(--('Transactions'!$B$2:$B$5000=$B6),--('Transactions'!$F$2:$F$5000='Réglages'!$B$3),'Transactions'!$E$2:$E$5000))</f>
        <v/>
      </c>
      <c r="J6" s="23" t="str">
        <f>IF($B6="","",IF($G6&gt;0,$I6/$G6,0))</f>
        <v/>
      </c>
      <c r="K6" s="17" t="str">
        <f>IF($B6="","",$G6-$H6-$I6)</f>
        <v/>
      </c>
      <c r="L6" s="17" t="str">
        <f>IF($B6="","",$F6+$K6)</f>
        <v/>
      </c>
    </row>
    <row r="7" ht="20" customHeight="1" spans="1:12" x14ac:dyDescent="0.25">
      <c r="A7" s="10"/>
      <c r="B7" s="22"/>
      <c r="C7" s="10"/>
      <c r="D7" s="16"/>
      <c r="E7" s="16"/>
      <c r="F7" s="17" t="str">
        <f>IF($B7="","",IF($D7&lt;&gt;"",$D7,N($L6)))</f>
        <v/>
      </c>
      <c r="G7" s="17" t="str">
        <f>IF($B7="","",SUMPRODUCT(--('Transactions'!$B$2:$B$5000=$B7),--('Transactions'!$C$2:$C$5000="Revenu"),'Transactions'!$E$2:$E$5000))</f>
        <v/>
      </c>
      <c r="H7" s="17" t="str">
        <f>IF($B7="","",SUMPRODUCT(--('Transactions'!$B$2:$B$5000=$B7),--('Transactions'!$C$2:$C$5000&lt;&gt;"Revenu"),--('Transactions'!$F$2:$F$5000&lt;&gt;'Réglages'!$B$3),'Transactions'!$E$2:$E$5000))</f>
        <v/>
      </c>
      <c r="I7" s="17" t="str">
        <f>IF($B7="","",SUMPRODUCT(--('Transactions'!$B$2:$B$5000=$B7),--('Transactions'!$F$2:$F$5000='Réglages'!$B$3),'Transactions'!$E$2:$E$5000))</f>
        <v/>
      </c>
      <c r="J7" s="23" t="str">
        <f>IF($B7="","",IF($G7&gt;0,$I7/$G7,0))</f>
        <v/>
      </c>
      <c r="K7" s="17" t="str">
        <f>IF($B7="","",$G7-$H7-$I7)</f>
        <v/>
      </c>
      <c r="L7" s="17" t="str">
        <f>IF($B7="","",$F7+$K7)</f>
        <v/>
      </c>
    </row>
    <row r="8" ht="20" customHeight="1" spans="1:12" x14ac:dyDescent="0.25">
      <c r="A8" s="10"/>
      <c r="B8" s="22"/>
      <c r="C8" s="10"/>
      <c r="D8" s="16"/>
      <c r="E8" s="16"/>
      <c r="F8" s="17" t="str">
        <f>IF($B8="","",IF($D8&lt;&gt;"",$D8,N($L7)))</f>
        <v/>
      </c>
      <c r="G8" s="17" t="str">
        <f>IF($B8="","",SUMPRODUCT(--('Transactions'!$B$2:$B$5000=$B8),--('Transactions'!$C$2:$C$5000="Revenu"),'Transactions'!$E$2:$E$5000))</f>
        <v/>
      </c>
      <c r="H8" s="17" t="str">
        <f>IF($B8="","",SUMPRODUCT(--('Transactions'!$B$2:$B$5000=$B8),--('Transactions'!$C$2:$C$5000&lt;&gt;"Revenu"),--('Transactions'!$F$2:$F$5000&lt;&gt;'Réglages'!$B$3),'Transactions'!$E$2:$E$5000))</f>
        <v/>
      </c>
      <c r="I8" s="17" t="str">
        <f>IF($B8="","",SUMPRODUCT(--('Transactions'!$B$2:$B$5000=$B8),--('Transactions'!$F$2:$F$5000='Réglages'!$B$3),'Transactions'!$E$2:$E$5000))</f>
        <v/>
      </c>
      <c r="J8" s="23" t="str">
        <f>IF($B8="","",IF($G8&gt;0,$I8/$G8,0))</f>
        <v/>
      </c>
      <c r="K8" s="17" t="str">
        <f>IF($B8="","",$G8-$H8-$I8)</f>
        <v/>
      </c>
      <c r="L8" s="17" t="str">
        <f>IF($B8="","",$F8+$K8)</f>
        <v/>
      </c>
    </row>
    <row r="9" ht="20" customHeight="1" spans="1:12" x14ac:dyDescent="0.25">
      <c r="A9" s="10"/>
      <c r="B9" s="22"/>
      <c r="C9" s="10"/>
      <c r="D9" s="16"/>
      <c r="E9" s="16"/>
      <c r="F9" s="17" t="str">
        <f>IF($B9="","",IF($D9&lt;&gt;"",$D9,N($L8)))</f>
        <v/>
      </c>
      <c r="G9" s="17" t="str">
        <f>IF($B9="","",SUMPRODUCT(--('Transactions'!$B$2:$B$5000=$B9),--('Transactions'!$C$2:$C$5000="Revenu"),'Transactions'!$E$2:$E$5000))</f>
        <v/>
      </c>
      <c r="H9" s="17" t="str">
        <f>IF($B9="","",SUMPRODUCT(--('Transactions'!$B$2:$B$5000=$B9),--('Transactions'!$C$2:$C$5000&lt;&gt;"Revenu"),--('Transactions'!$F$2:$F$5000&lt;&gt;'Réglages'!$B$3),'Transactions'!$E$2:$E$5000))</f>
        <v/>
      </c>
      <c r="I9" s="17" t="str">
        <f>IF($B9="","",SUMPRODUCT(--('Transactions'!$B$2:$B$5000=$B9),--('Transactions'!$F$2:$F$5000='Réglages'!$B$3),'Transactions'!$E$2:$E$5000))</f>
        <v/>
      </c>
      <c r="J9" s="23" t="str">
        <f>IF($B9="","",IF($G9&gt;0,$I9/$G9,0))</f>
        <v/>
      </c>
      <c r="K9" s="17" t="str">
        <f>IF($B9="","",$G9-$H9-$I9)</f>
        <v/>
      </c>
      <c r="L9" s="17" t="str">
        <f>IF($B9="","",$F9+$K9)</f>
        <v/>
      </c>
    </row>
    <row r="10" ht="20" customHeight="1" spans="1:12" x14ac:dyDescent="0.25">
      <c r="A10" s="10"/>
      <c r="B10" s="22"/>
      <c r="C10" s="10"/>
      <c r="D10" s="16"/>
      <c r="E10" s="16"/>
      <c r="F10" s="17" t="str">
        <f>IF($B10="","",IF($D10&lt;&gt;"",$D10,N($L9)))</f>
        <v/>
      </c>
      <c r="G10" s="17" t="str">
        <f>IF($B10="","",SUMPRODUCT(--('Transactions'!$B$2:$B$5000=$B10),--('Transactions'!$C$2:$C$5000="Revenu"),'Transactions'!$E$2:$E$5000))</f>
        <v/>
      </c>
      <c r="H10" s="17" t="str">
        <f>IF($B10="","",SUMPRODUCT(--('Transactions'!$B$2:$B$5000=$B10),--('Transactions'!$C$2:$C$5000&lt;&gt;"Revenu"),--('Transactions'!$F$2:$F$5000&lt;&gt;'Réglages'!$B$3),'Transactions'!$E$2:$E$5000))</f>
        <v/>
      </c>
      <c r="I10" s="17" t="str">
        <f>IF($B10="","",SUMPRODUCT(--('Transactions'!$B$2:$B$5000=$B10),--('Transactions'!$F$2:$F$5000='Réglages'!$B$3),'Transactions'!$E$2:$E$5000))</f>
        <v/>
      </c>
      <c r="J10" s="23" t="str">
        <f>IF($B10="","",IF($G10&gt;0,$I10/$G10,0))</f>
        <v/>
      </c>
      <c r="K10" s="17" t="str">
        <f>IF($B10="","",$G10-$H10-$I10)</f>
        <v/>
      </c>
      <c r="L10" s="17" t="str">
        <f>IF($B10="","",$F10+$K10)</f>
        <v/>
      </c>
    </row>
    <row r="11" ht="20" customHeight="1" spans="1:12" x14ac:dyDescent="0.25">
      <c r="A11" s="10"/>
      <c r="B11" s="22"/>
      <c r="C11" s="10"/>
      <c r="D11" s="16"/>
      <c r="E11" s="16"/>
      <c r="F11" s="17" t="str">
        <f>IF($B11="","",IF($D11&lt;&gt;"",$D11,N($L10)))</f>
        <v/>
      </c>
      <c r="G11" s="17" t="str">
        <f>IF($B11="","",SUMPRODUCT(--('Transactions'!$B$2:$B$5000=$B11),--('Transactions'!$C$2:$C$5000="Revenu"),'Transactions'!$E$2:$E$5000))</f>
        <v/>
      </c>
      <c r="H11" s="17" t="str">
        <f>IF($B11="","",SUMPRODUCT(--('Transactions'!$B$2:$B$5000=$B11),--('Transactions'!$C$2:$C$5000&lt;&gt;"Revenu"),--('Transactions'!$F$2:$F$5000&lt;&gt;'Réglages'!$B$3),'Transactions'!$E$2:$E$5000))</f>
        <v/>
      </c>
      <c r="I11" s="17" t="str">
        <f>IF($B11="","",SUMPRODUCT(--('Transactions'!$B$2:$B$5000=$B11),--('Transactions'!$F$2:$F$5000='Réglages'!$B$3),'Transactions'!$E$2:$E$5000))</f>
        <v/>
      </c>
      <c r="J11" s="23" t="str">
        <f>IF($B11="","",IF($G11&gt;0,$I11/$G11,0))</f>
        <v/>
      </c>
      <c r="K11" s="17" t="str">
        <f>IF($B11="","",$G11-$H11-$I11)</f>
        <v/>
      </c>
      <c r="L11" s="17" t="str">
        <f>IF($B11="","",$F11+$K11)</f>
        <v/>
      </c>
    </row>
    <row r="12" ht="20" customHeight="1" spans="1:12" x14ac:dyDescent="0.25">
      <c r="A12" s="10"/>
      <c r="B12" s="22"/>
      <c r="C12" s="10"/>
      <c r="D12" s="16"/>
      <c r="E12" s="16"/>
      <c r="F12" s="17" t="str">
        <f>IF($B12="","",IF($D12&lt;&gt;"",$D12,N($L11)))</f>
        <v/>
      </c>
      <c r="G12" s="17" t="str">
        <f>IF($B12="","",SUMPRODUCT(--('Transactions'!$B$2:$B$5000=$B12),--('Transactions'!$C$2:$C$5000="Revenu"),'Transactions'!$E$2:$E$5000))</f>
        <v/>
      </c>
      <c r="H12" s="17" t="str">
        <f>IF($B12="","",SUMPRODUCT(--('Transactions'!$B$2:$B$5000=$B12),--('Transactions'!$C$2:$C$5000&lt;&gt;"Revenu"),--('Transactions'!$F$2:$F$5000&lt;&gt;'Réglages'!$B$3),'Transactions'!$E$2:$E$5000))</f>
        <v/>
      </c>
      <c r="I12" s="17" t="str">
        <f>IF($B12="","",SUMPRODUCT(--('Transactions'!$B$2:$B$5000=$B12),--('Transactions'!$F$2:$F$5000='Réglages'!$B$3),'Transactions'!$E$2:$E$5000))</f>
        <v/>
      </c>
      <c r="J12" s="23" t="str">
        <f>IF($B12="","",IF($G12&gt;0,$I12/$G12,0))</f>
        <v/>
      </c>
      <c r="K12" s="17" t="str">
        <f>IF($B12="","",$G12-$H12-$I12)</f>
        <v/>
      </c>
      <c r="L12" s="17" t="str">
        <f>IF($B12="","",$F12+$K12)</f>
        <v/>
      </c>
    </row>
    <row r="13" ht="20" customHeight="1" spans="1:12" x14ac:dyDescent="0.25">
      <c r="A13" s="10"/>
      <c r="B13" s="22"/>
      <c r="C13" s="10"/>
      <c r="D13" s="16"/>
      <c r="E13" s="16"/>
      <c r="F13" s="17" t="str">
        <f>IF($B13="","",IF($D13&lt;&gt;"",$D13,N($L12)))</f>
        <v/>
      </c>
      <c r="G13" s="17" t="str">
        <f>IF($B13="","",SUMPRODUCT(--('Transactions'!$B$2:$B$5000=$B13),--('Transactions'!$C$2:$C$5000="Revenu"),'Transactions'!$E$2:$E$5000))</f>
        <v/>
      </c>
      <c r="H13" s="17" t="str">
        <f>IF($B13="","",SUMPRODUCT(--('Transactions'!$B$2:$B$5000=$B13),--('Transactions'!$C$2:$C$5000&lt;&gt;"Revenu"),--('Transactions'!$F$2:$F$5000&lt;&gt;'Réglages'!$B$3),'Transactions'!$E$2:$E$5000))</f>
        <v/>
      </c>
      <c r="I13" s="17" t="str">
        <f>IF($B13="","",SUMPRODUCT(--('Transactions'!$B$2:$B$5000=$B13),--('Transactions'!$F$2:$F$5000='Réglages'!$B$3),'Transactions'!$E$2:$E$5000))</f>
        <v/>
      </c>
      <c r="J13" s="23" t="str">
        <f>IF($B13="","",IF($G13&gt;0,$I13/$G13,0))</f>
        <v/>
      </c>
      <c r="K13" s="17" t="str">
        <f>IF($B13="","",$G13-$H13-$I13)</f>
        <v/>
      </c>
      <c r="L13" s="17" t="str">
        <f>IF($B13="","",$F13+$K13)</f>
        <v/>
      </c>
    </row>
    <row r="14" ht="20" customHeight="1" spans="1:12" x14ac:dyDescent="0.25">
      <c r="A14" s="10"/>
      <c r="B14" s="22"/>
      <c r="C14" s="10"/>
      <c r="D14" s="16"/>
      <c r="E14" s="16"/>
      <c r="F14" s="17" t="str">
        <f>IF($B14="","",IF($D14&lt;&gt;"",$D14,N($L13)))</f>
        <v/>
      </c>
      <c r="G14" s="17" t="str">
        <f>IF($B14="","",SUMPRODUCT(--('Transactions'!$B$2:$B$5000=$B14),--('Transactions'!$C$2:$C$5000="Revenu"),'Transactions'!$E$2:$E$5000))</f>
        <v/>
      </c>
      <c r="H14" s="17" t="str">
        <f>IF($B14="","",SUMPRODUCT(--('Transactions'!$B$2:$B$5000=$B14),--('Transactions'!$C$2:$C$5000&lt;&gt;"Revenu"),--('Transactions'!$F$2:$F$5000&lt;&gt;'Réglages'!$B$3),'Transactions'!$E$2:$E$5000))</f>
        <v/>
      </c>
      <c r="I14" s="17" t="str">
        <f>IF($B14="","",SUMPRODUCT(--('Transactions'!$B$2:$B$5000=$B14),--('Transactions'!$F$2:$F$5000='Réglages'!$B$3),'Transactions'!$E$2:$E$5000))</f>
        <v/>
      </c>
      <c r="J14" s="23" t="str">
        <f>IF($B14="","",IF($G14&gt;0,$I14/$G14,0))</f>
        <v/>
      </c>
      <c r="K14" s="17" t="str">
        <f>IF($B14="","",$G14-$H14-$I14)</f>
        <v/>
      </c>
      <c r="L14" s="17" t="str">
        <f>IF($B14="","",$F14+$K14)</f>
        <v/>
      </c>
    </row>
    <row r="15" ht="20" customHeight="1" spans="1:12" x14ac:dyDescent="0.25">
      <c r="A15" s="10"/>
      <c r="B15" s="22"/>
      <c r="C15" s="10"/>
      <c r="D15" s="16"/>
      <c r="E15" s="16"/>
      <c r="F15" s="17" t="str">
        <f>IF($B15="","",IF($D15&lt;&gt;"",$D15,N($L14)))</f>
        <v/>
      </c>
      <c r="G15" s="17" t="str">
        <f>IF($B15="","",SUMPRODUCT(--('Transactions'!$B$2:$B$5000=$B15),--('Transactions'!$C$2:$C$5000="Revenu"),'Transactions'!$E$2:$E$5000))</f>
        <v/>
      </c>
      <c r="H15" s="17" t="str">
        <f>IF($B15="","",SUMPRODUCT(--('Transactions'!$B$2:$B$5000=$B15),--('Transactions'!$C$2:$C$5000&lt;&gt;"Revenu"),--('Transactions'!$F$2:$F$5000&lt;&gt;'Réglages'!$B$3),'Transactions'!$E$2:$E$5000))</f>
        <v/>
      </c>
      <c r="I15" s="17" t="str">
        <f>IF($B15="","",SUMPRODUCT(--('Transactions'!$B$2:$B$5000=$B15),--('Transactions'!$F$2:$F$5000='Réglages'!$B$3),'Transactions'!$E$2:$E$5000))</f>
        <v/>
      </c>
      <c r="J15" s="23" t="str">
        <f>IF($B15="","",IF($G15&gt;0,$I15/$G15,0))</f>
        <v/>
      </c>
      <c r="K15" s="17" t="str">
        <f>IF($B15="","",$G15-$H15-$I15)</f>
        <v/>
      </c>
      <c r="L15" s="17" t="str">
        <f>IF($B15="","",$F15+$K15)</f>
        <v/>
      </c>
    </row>
    <row r="16" ht="20" customHeight="1" spans="1:12" x14ac:dyDescent="0.25">
      <c r="A16" s="10"/>
      <c r="B16" s="22"/>
      <c r="C16" s="10"/>
      <c r="D16" s="16"/>
      <c r="E16" s="16"/>
      <c r="F16" s="17" t="str">
        <f>IF($B16="","",IF($D16&lt;&gt;"",$D16,N($L15)))</f>
        <v/>
      </c>
      <c r="G16" s="17" t="str">
        <f>IF($B16="","",SUMPRODUCT(--('Transactions'!$B$2:$B$5000=$B16),--('Transactions'!$C$2:$C$5000="Revenu"),'Transactions'!$E$2:$E$5000))</f>
        <v/>
      </c>
      <c r="H16" s="17" t="str">
        <f>IF($B16="","",SUMPRODUCT(--('Transactions'!$B$2:$B$5000=$B16),--('Transactions'!$C$2:$C$5000&lt;&gt;"Revenu"),--('Transactions'!$F$2:$F$5000&lt;&gt;'Réglages'!$B$3),'Transactions'!$E$2:$E$5000))</f>
        <v/>
      </c>
      <c r="I16" s="17" t="str">
        <f>IF($B16="","",SUMPRODUCT(--('Transactions'!$B$2:$B$5000=$B16),--('Transactions'!$F$2:$F$5000='Réglages'!$B$3),'Transactions'!$E$2:$E$5000))</f>
        <v/>
      </c>
      <c r="J16" s="23" t="str">
        <f>IF($B16="","",IF($G16&gt;0,$I16/$G16,0))</f>
        <v/>
      </c>
      <c r="K16" s="17" t="str">
        <f>IF($B16="","",$G16-$H16-$I16)</f>
        <v/>
      </c>
      <c r="L16" s="17" t="str">
        <f>IF($B16="","",$F16+$K16)</f>
        <v/>
      </c>
    </row>
    <row r="17" ht="20" customHeight="1" spans="1:12" x14ac:dyDescent="0.25">
      <c r="A17" s="10"/>
      <c r="B17" s="22"/>
      <c r="C17" s="10"/>
      <c r="D17" s="16"/>
      <c r="E17" s="16"/>
      <c r="F17" s="17" t="str">
        <f>IF($B17="","",IF($D17&lt;&gt;"",$D17,N($L16)))</f>
        <v/>
      </c>
      <c r="G17" s="17" t="str">
        <f>IF($B17="","",SUMPRODUCT(--('Transactions'!$B$2:$B$5000=$B17),--('Transactions'!$C$2:$C$5000="Revenu"),'Transactions'!$E$2:$E$5000))</f>
        <v/>
      </c>
      <c r="H17" s="17" t="str">
        <f>IF($B17="","",SUMPRODUCT(--('Transactions'!$B$2:$B$5000=$B17),--('Transactions'!$C$2:$C$5000&lt;&gt;"Revenu"),--('Transactions'!$F$2:$F$5000&lt;&gt;'Réglages'!$B$3),'Transactions'!$E$2:$E$5000))</f>
        <v/>
      </c>
      <c r="I17" s="17" t="str">
        <f>IF($B17="","",SUMPRODUCT(--('Transactions'!$B$2:$B$5000=$B17),--('Transactions'!$F$2:$F$5000='Réglages'!$B$3),'Transactions'!$E$2:$E$5000))</f>
        <v/>
      </c>
      <c r="J17" s="23" t="str">
        <f>IF($B17="","",IF($G17&gt;0,$I17/$G17,0))</f>
        <v/>
      </c>
      <c r="K17" s="17" t="str">
        <f>IF($B17="","",$G17-$H17-$I17)</f>
        <v/>
      </c>
      <c r="L17" s="17" t="str">
        <f>IF($B17="","",$F17+$K17)</f>
        <v/>
      </c>
    </row>
    <row r="18" ht="20" customHeight="1" spans="1:12" x14ac:dyDescent="0.25">
      <c r="A18" s="10"/>
      <c r="B18" s="22"/>
      <c r="C18" s="10"/>
      <c r="D18" s="16"/>
      <c r="E18" s="16"/>
      <c r="F18" s="17" t="str">
        <f>IF($B18="","",IF($D18&lt;&gt;"",$D18,N($L17)))</f>
        <v/>
      </c>
      <c r="G18" s="17" t="str">
        <f>IF($B18="","",SUMPRODUCT(--('Transactions'!$B$2:$B$5000=$B18),--('Transactions'!$C$2:$C$5000="Revenu"),'Transactions'!$E$2:$E$5000))</f>
        <v/>
      </c>
      <c r="H18" s="17" t="str">
        <f>IF($B18="","",SUMPRODUCT(--('Transactions'!$B$2:$B$5000=$B18),--('Transactions'!$C$2:$C$5000&lt;&gt;"Revenu"),--('Transactions'!$F$2:$F$5000&lt;&gt;'Réglages'!$B$3),'Transactions'!$E$2:$E$5000))</f>
        <v/>
      </c>
      <c r="I18" s="17" t="str">
        <f>IF($B18="","",SUMPRODUCT(--('Transactions'!$B$2:$B$5000=$B18),--('Transactions'!$F$2:$F$5000='Réglages'!$B$3),'Transactions'!$E$2:$E$5000))</f>
        <v/>
      </c>
      <c r="J18" s="23" t="str">
        <f>IF($B18="","",IF($G18&gt;0,$I18/$G18,0))</f>
        <v/>
      </c>
      <c r="K18" s="17" t="str">
        <f>IF($B18="","",$G18-$H18-$I18)</f>
        <v/>
      </c>
      <c r="L18" s="17" t="str">
        <f>IF($B18="","",$F18+$K18)</f>
        <v/>
      </c>
    </row>
    <row r="19" ht="20" customHeight="1" spans="1:12" x14ac:dyDescent="0.25">
      <c r="A19" s="10"/>
      <c r="B19" s="22"/>
      <c r="C19" s="10"/>
      <c r="D19" s="16"/>
      <c r="E19" s="16"/>
      <c r="F19" s="17" t="str">
        <f>IF($B19="","",IF($D19&lt;&gt;"",$D19,N($L18)))</f>
        <v/>
      </c>
      <c r="G19" s="17" t="str">
        <f>IF($B19="","",SUMPRODUCT(--('Transactions'!$B$2:$B$5000=$B19),--('Transactions'!$C$2:$C$5000="Revenu"),'Transactions'!$E$2:$E$5000))</f>
        <v/>
      </c>
      <c r="H19" s="17" t="str">
        <f>IF($B19="","",SUMPRODUCT(--('Transactions'!$B$2:$B$5000=$B19),--('Transactions'!$C$2:$C$5000&lt;&gt;"Revenu"),--('Transactions'!$F$2:$F$5000&lt;&gt;'Réglages'!$B$3),'Transactions'!$E$2:$E$5000))</f>
        <v/>
      </c>
      <c r="I19" s="17" t="str">
        <f>IF($B19="","",SUMPRODUCT(--('Transactions'!$B$2:$B$5000=$B19),--('Transactions'!$F$2:$F$5000='Réglages'!$B$3),'Transactions'!$E$2:$E$5000))</f>
        <v/>
      </c>
      <c r="J19" s="23" t="str">
        <f>IF($B19="","",IF($G19&gt;0,$I19/$G19,0))</f>
        <v/>
      </c>
      <c r="K19" s="17" t="str">
        <f>IF($B19="","",$G19-$H19-$I19)</f>
        <v/>
      </c>
      <c r="L19" s="17" t="str">
        <f>IF($B19="","",$F19+$K19)</f>
        <v/>
      </c>
    </row>
    <row r="20" ht="20" customHeight="1" spans="1:12" x14ac:dyDescent="0.25">
      <c r="A20" s="10"/>
      <c r="B20" s="22"/>
      <c r="C20" s="10"/>
      <c r="D20" s="16"/>
      <c r="E20" s="16"/>
      <c r="F20" s="17" t="str">
        <f>IF($B20="","",IF($D20&lt;&gt;"",$D20,N($L19)))</f>
        <v/>
      </c>
      <c r="G20" s="17" t="str">
        <f>IF($B20="","",SUMPRODUCT(--('Transactions'!$B$2:$B$5000=$B20),--('Transactions'!$C$2:$C$5000="Revenu"),'Transactions'!$E$2:$E$5000))</f>
        <v/>
      </c>
      <c r="H20" s="17" t="str">
        <f>IF($B20="","",SUMPRODUCT(--('Transactions'!$B$2:$B$5000=$B20),--('Transactions'!$C$2:$C$5000&lt;&gt;"Revenu"),--('Transactions'!$F$2:$F$5000&lt;&gt;'Réglages'!$B$3),'Transactions'!$E$2:$E$5000))</f>
        <v/>
      </c>
      <c r="I20" s="17" t="str">
        <f>IF($B20="","",SUMPRODUCT(--('Transactions'!$B$2:$B$5000=$B20),--('Transactions'!$F$2:$F$5000='Réglages'!$B$3),'Transactions'!$E$2:$E$5000))</f>
        <v/>
      </c>
      <c r="J20" s="23" t="str">
        <f>IF($B20="","",IF($G20&gt;0,$I20/$G20,0))</f>
        <v/>
      </c>
      <c r="K20" s="17" t="str">
        <f>IF($B20="","",$G20-$H20-$I20)</f>
        <v/>
      </c>
      <c r="L20" s="17" t="str">
        <f>IF($B20="","",$F20+$K20)</f>
        <v/>
      </c>
    </row>
    <row r="21" ht="20" customHeight="1" spans="1:12" x14ac:dyDescent="0.25">
      <c r="A21" s="10"/>
      <c r="B21" s="22"/>
      <c r="C21" s="10"/>
      <c r="D21" s="16"/>
      <c r="E21" s="16"/>
      <c r="F21" s="17" t="str">
        <f>IF($B21="","",IF($D21&lt;&gt;"",$D21,N($L20)))</f>
        <v/>
      </c>
      <c r="G21" s="17" t="str">
        <f>IF($B21="","",SUMPRODUCT(--('Transactions'!$B$2:$B$5000=$B21),--('Transactions'!$C$2:$C$5000="Revenu"),'Transactions'!$E$2:$E$5000))</f>
        <v/>
      </c>
      <c r="H21" s="17" t="str">
        <f>IF($B21="","",SUMPRODUCT(--('Transactions'!$B$2:$B$5000=$B21),--('Transactions'!$C$2:$C$5000&lt;&gt;"Revenu"),--('Transactions'!$F$2:$F$5000&lt;&gt;'Réglages'!$B$3),'Transactions'!$E$2:$E$5000))</f>
        <v/>
      </c>
      <c r="I21" s="17" t="str">
        <f>IF($B21="","",SUMPRODUCT(--('Transactions'!$B$2:$B$5000=$B21),--('Transactions'!$F$2:$F$5000='Réglages'!$B$3),'Transactions'!$E$2:$E$5000))</f>
        <v/>
      </c>
      <c r="J21" s="23" t="str">
        <f>IF($B21="","",IF($G21&gt;0,$I21/$G21,0))</f>
        <v/>
      </c>
      <c r="K21" s="17" t="str">
        <f>IF($B21="","",$G21-$H21-$I21)</f>
        <v/>
      </c>
      <c r="L21" s="17" t="str">
        <f>IF($B21="","",$F21+$K21)</f>
        <v/>
      </c>
    </row>
    <row r="22" ht="20" customHeight="1" spans="1:12" x14ac:dyDescent="0.25">
      <c r="A22" s="10"/>
      <c r="B22" s="22"/>
      <c r="C22" s="10"/>
      <c r="D22" s="16"/>
      <c r="E22" s="16"/>
      <c r="F22" s="17" t="str">
        <f>IF($B22="","",IF($D22&lt;&gt;"",$D22,N($L21)))</f>
        <v/>
      </c>
      <c r="G22" s="17" t="str">
        <f>IF($B22="","",SUMPRODUCT(--('Transactions'!$B$2:$B$5000=$B22),--('Transactions'!$C$2:$C$5000="Revenu"),'Transactions'!$E$2:$E$5000))</f>
        <v/>
      </c>
      <c r="H22" s="17" t="str">
        <f>IF($B22="","",SUMPRODUCT(--('Transactions'!$B$2:$B$5000=$B22),--('Transactions'!$C$2:$C$5000&lt;&gt;"Revenu"),--('Transactions'!$F$2:$F$5000&lt;&gt;'Réglages'!$B$3),'Transactions'!$E$2:$E$5000))</f>
        <v/>
      </c>
      <c r="I22" s="17" t="str">
        <f>IF($B22="","",SUMPRODUCT(--('Transactions'!$B$2:$B$5000=$B22),--('Transactions'!$F$2:$F$5000='Réglages'!$B$3),'Transactions'!$E$2:$E$5000))</f>
        <v/>
      </c>
      <c r="J22" s="23" t="str">
        <f>IF($B22="","",IF($G22&gt;0,$I22/$G22,0))</f>
        <v/>
      </c>
      <c r="K22" s="17" t="str">
        <f>IF($B22="","",$G22-$H22-$I22)</f>
        <v/>
      </c>
      <c r="L22" s="17" t="str">
        <f>IF($B22="","",$F22+$K22)</f>
        <v/>
      </c>
    </row>
    <row r="23" ht="20" customHeight="1" spans="1:12" x14ac:dyDescent="0.25">
      <c r="A23" s="10"/>
      <c r="B23" s="22"/>
      <c r="C23" s="10"/>
      <c r="D23" s="16"/>
      <c r="E23" s="16"/>
      <c r="F23" s="17" t="str">
        <f>IF($B23="","",IF($D23&lt;&gt;"",$D23,N($L22)))</f>
        <v/>
      </c>
      <c r="G23" s="17" t="str">
        <f>IF($B23="","",SUMPRODUCT(--('Transactions'!$B$2:$B$5000=$B23),--('Transactions'!$C$2:$C$5000="Revenu"),'Transactions'!$E$2:$E$5000))</f>
        <v/>
      </c>
      <c r="H23" s="17" t="str">
        <f>IF($B23="","",SUMPRODUCT(--('Transactions'!$B$2:$B$5000=$B23),--('Transactions'!$C$2:$C$5000&lt;&gt;"Revenu"),--('Transactions'!$F$2:$F$5000&lt;&gt;'Réglages'!$B$3),'Transactions'!$E$2:$E$5000))</f>
        <v/>
      </c>
      <c r="I23" s="17" t="str">
        <f>IF($B23="","",SUMPRODUCT(--('Transactions'!$B$2:$B$5000=$B23),--('Transactions'!$F$2:$F$5000='Réglages'!$B$3),'Transactions'!$E$2:$E$5000))</f>
        <v/>
      </c>
      <c r="J23" s="23" t="str">
        <f>IF($B23="","",IF($G23&gt;0,$I23/$G23,0))</f>
        <v/>
      </c>
      <c r="K23" s="17" t="str">
        <f>IF($B23="","",$G23-$H23-$I23)</f>
        <v/>
      </c>
      <c r="L23" s="17" t="str">
        <f>IF($B23="","",$F23+$K23)</f>
        <v/>
      </c>
    </row>
    <row r="24" ht="20" customHeight="1" spans="1:12" x14ac:dyDescent="0.25">
      <c r="A24" s="10"/>
      <c r="B24" s="22"/>
      <c r="C24" s="10"/>
      <c r="D24" s="16"/>
      <c r="E24" s="16"/>
      <c r="F24" s="17" t="str">
        <f>IF($B24="","",IF($D24&lt;&gt;"",$D24,N($L23)))</f>
        <v/>
      </c>
      <c r="G24" s="17" t="str">
        <f>IF($B24="","",SUMPRODUCT(--('Transactions'!$B$2:$B$5000=$B24),--('Transactions'!$C$2:$C$5000="Revenu"),'Transactions'!$E$2:$E$5000))</f>
        <v/>
      </c>
      <c r="H24" s="17" t="str">
        <f>IF($B24="","",SUMPRODUCT(--('Transactions'!$B$2:$B$5000=$B24),--('Transactions'!$C$2:$C$5000&lt;&gt;"Revenu"),--('Transactions'!$F$2:$F$5000&lt;&gt;'Réglages'!$B$3),'Transactions'!$E$2:$E$5000))</f>
        <v/>
      </c>
      <c r="I24" s="17" t="str">
        <f>IF($B24="","",SUMPRODUCT(--('Transactions'!$B$2:$B$5000=$B24),--('Transactions'!$F$2:$F$5000='Réglages'!$B$3),'Transactions'!$E$2:$E$5000))</f>
        <v/>
      </c>
      <c r="J24" s="23" t="str">
        <f>IF($B24="","",IF($G24&gt;0,$I24/$G24,0))</f>
        <v/>
      </c>
      <c r="K24" s="17" t="str">
        <f>IF($B24="","",$G24-$H24-$I24)</f>
        <v/>
      </c>
      <c r="L24" s="17" t="str">
        <f>IF($B24="","",$F24+$K24)</f>
        <v/>
      </c>
    </row>
    <row r="25" ht="20" customHeight="1" spans="1:12" x14ac:dyDescent="0.25">
      <c r="A25" s="10"/>
      <c r="B25" s="22"/>
      <c r="C25" s="10"/>
      <c r="D25" s="16"/>
      <c r="E25" s="16"/>
      <c r="F25" s="17" t="str">
        <f>IF($B25="","",IF($D25&lt;&gt;"",$D25,N($L24)))</f>
        <v/>
      </c>
      <c r="G25" s="17" t="str">
        <f>IF($B25="","",SUMPRODUCT(--('Transactions'!$B$2:$B$5000=$B25),--('Transactions'!$C$2:$C$5000="Revenu"),'Transactions'!$E$2:$E$5000))</f>
        <v/>
      </c>
      <c r="H25" s="17" t="str">
        <f>IF($B25="","",SUMPRODUCT(--('Transactions'!$B$2:$B$5000=$B25),--('Transactions'!$C$2:$C$5000&lt;&gt;"Revenu"),--('Transactions'!$F$2:$F$5000&lt;&gt;'Réglages'!$B$3),'Transactions'!$E$2:$E$5000))</f>
        <v/>
      </c>
      <c r="I25" s="17" t="str">
        <f>IF($B25="","",SUMPRODUCT(--('Transactions'!$B$2:$B$5000=$B25),--('Transactions'!$F$2:$F$5000='Réglages'!$B$3),'Transactions'!$E$2:$E$5000))</f>
        <v/>
      </c>
      <c r="J25" s="23" t="str">
        <f>IF($B25="","",IF($G25&gt;0,$I25/$G25,0))</f>
        <v/>
      </c>
      <c r="K25" s="17" t="str">
        <f>IF($B25="","",$G25-$H25-$I25)</f>
        <v/>
      </c>
      <c r="L25" s="17" t="str">
        <f>IF($B25="","",$F25+$K25)</f>
        <v/>
      </c>
    </row>
    <row r="26" ht="20" customHeight="1" spans="1:12" x14ac:dyDescent="0.25">
      <c r="A26" s="10"/>
      <c r="B26" s="22"/>
      <c r="C26" s="10"/>
      <c r="D26" s="16"/>
      <c r="E26" s="16"/>
      <c r="F26" s="17" t="str">
        <f>IF($B26="","",IF($D26&lt;&gt;"",$D26,N($L25)))</f>
        <v/>
      </c>
      <c r="G26" s="17" t="str">
        <f>IF($B26="","",SUMPRODUCT(--('Transactions'!$B$2:$B$5000=$B26),--('Transactions'!$C$2:$C$5000="Revenu"),'Transactions'!$E$2:$E$5000))</f>
        <v/>
      </c>
      <c r="H26" s="17" t="str">
        <f>IF($B26="","",SUMPRODUCT(--('Transactions'!$B$2:$B$5000=$B26),--('Transactions'!$C$2:$C$5000&lt;&gt;"Revenu"),--('Transactions'!$F$2:$F$5000&lt;&gt;'Réglages'!$B$3),'Transactions'!$E$2:$E$5000))</f>
        <v/>
      </c>
      <c r="I26" s="17" t="str">
        <f>IF($B26="","",SUMPRODUCT(--('Transactions'!$B$2:$B$5000=$B26),--('Transactions'!$F$2:$F$5000='Réglages'!$B$3),'Transactions'!$E$2:$E$5000))</f>
        <v/>
      </c>
      <c r="J26" s="23" t="str">
        <f>IF($B26="","",IF($G26&gt;0,$I26/$G26,0))</f>
        <v/>
      </c>
      <c r="K26" s="17" t="str">
        <f>IF($B26="","",$G26-$H26-$I26)</f>
        <v/>
      </c>
      <c r="L26" s="17" t="str">
        <f>IF($B26="","",$F26+$K26)</f>
        <v/>
      </c>
    </row>
    <row r="27" ht="20" customHeight="1" spans="1:12" x14ac:dyDescent="0.25">
      <c r="A27" s="10"/>
      <c r="B27" s="22"/>
      <c r="C27" s="10"/>
      <c r="D27" s="16"/>
      <c r="E27" s="16"/>
      <c r="F27" s="17" t="str">
        <f>IF($B27="","",IF($D27&lt;&gt;"",$D27,N($L26)))</f>
        <v/>
      </c>
      <c r="G27" s="17" t="str">
        <f>IF($B27="","",SUMPRODUCT(--('Transactions'!$B$2:$B$5000=$B27),--('Transactions'!$C$2:$C$5000="Revenu"),'Transactions'!$E$2:$E$5000))</f>
        <v/>
      </c>
      <c r="H27" s="17" t="str">
        <f>IF($B27="","",SUMPRODUCT(--('Transactions'!$B$2:$B$5000=$B27),--('Transactions'!$C$2:$C$5000&lt;&gt;"Revenu"),--('Transactions'!$F$2:$F$5000&lt;&gt;'Réglages'!$B$3),'Transactions'!$E$2:$E$5000))</f>
        <v/>
      </c>
      <c r="I27" s="17" t="str">
        <f>IF($B27="","",SUMPRODUCT(--('Transactions'!$B$2:$B$5000=$B27),--('Transactions'!$F$2:$F$5000='Réglages'!$B$3),'Transactions'!$E$2:$E$5000))</f>
        <v/>
      </c>
      <c r="J27" s="23" t="str">
        <f>IF($B27="","",IF($G27&gt;0,$I27/$G27,0))</f>
        <v/>
      </c>
      <c r="K27" s="17" t="str">
        <f>IF($B27="","",$G27-$H27-$I27)</f>
        <v/>
      </c>
      <c r="L27" s="17" t="str">
        <f>IF($B27="","",$F27+$K27)</f>
        <v/>
      </c>
    </row>
    <row r="28" ht="20" customHeight="1" spans="1:12" x14ac:dyDescent="0.25">
      <c r="A28" s="10"/>
      <c r="B28" s="22"/>
      <c r="C28" s="10"/>
      <c r="D28" s="16"/>
      <c r="E28" s="16"/>
      <c r="F28" s="17" t="str">
        <f>IF($B28="","",IF($D28&lt;&gt;"",$D28,N($L27)))</f>
        <v/>
      </c>
      <c r="G28" s="17" t="str">
        <f>IF($B28="","",SUMPRODUCT(--('Transactions'!$B$2:$B$5000=$B28),--('Transactions'!$C$2:$C$5000="Revenu"),'Transactions'!$E$2:$E$5000))</f>
        <v/>
      </c>
      <c r="H28" s="17" t="str">
        <f>IF($B28="","",SUMPRODUCT(--('Transactions'!$B$2:$B$5000=$B28),--('Transactions'!$C$2:$C$5000&lt;&gt;"Revenu"),--('Transactions'!$F$2:$F$5000&lt;&gt;'Réglages'!$B$3),'Transactions'!$E$2:$E$5000))</f>
        <v/>
      </c>
      <c r="I28" s="17" t="str">
        <f>IF($B28="","",SUMPRODUCT(--('Transactions'!$B$2:$B$5000=$B28),--('Transactions'!$F$2:$F$5000='Réglages'!$B$3),'Transactions'!$E$2:$E$5000))</f>
        <v/>
      </c>
      <c r="J28" s="23" t="str">
        <f>IF($B28="","",IF($G28&gt;0,$I28/$G28,0))</f>
        <v/>
      </c>
      <c r="K28" s="17" t="str">
        <f>IF($B28="","",$G28-$H28-$I28)</f>
        <v/>
      </c>
      <c r="L28" s="17" t="str">
        <f>IF($B28="","",$F28+$K28)</f>
        <v/>
      </c>
    </row>
    <row r="29" ht="20" customHeight="1" spans="1:12" x14ac:dyDescent="0.25">
      <c r="A29" s="10"/>
      <c r="B29" s="22"/>
      <c r="C29" s="10"/>
      <c r="D29" s="16"/>
      <c r="E29" s="16"/>
      <c r="F29" s="17" t="str">
        <f>IF($B29="","",IF($D29&lt;&gt;"",$D29,N($L28)))</f>
        <v/>
      </c>
      <c r="G29" s="17" t="str">
        <f>IF($B29="","",SUMPRODUCT(--('Transactions'!$B$2:$B$5000=$B29),--('Transactions'!$C$2:$C$5000="Revenu"),'Transactions'!$E$2:$E$5000))</f>
        <v/>
      </c>
      <c r="H29" s="17" t="str">
        <f>IF($B29="","",SUMPRODUCT(--('Transactions'!$B$2:$B$5000=$B29),--('Transactions'!$C$2:$C$5000&lt;&gt;"Revenu"),--('Transactions'!$F$2:$F$5000&lt;&gt;'Réglages'!$B$3),'Transactions'!$E$2:$E$5000))</f>
        <v/>
      </c>
      <c r="I29" s="17" t="str">
        <f>IF($B29="","",SUMPRODUCT(--('Transactions'!$B$2:$B$5000=$B29),--('Transactions'!$F$2:$F$5000='Réglages'!$B$3),'Transactions'!$E$2:$E$5000))</f>
        <v/>
      </c>
      <c r="J29" s="23" t="str">
        <f>IF($B29="","",IF($G29&gt;0,$I29/$G29,0))</f>
        <v/>
      </c>
      <c r="K29" s="17" t="str">
        <f>IF($B29="","",$G29-$H29-$I29)</f>
        <v/>
      </c>
      <c r="L29" s="17" t="str">
        <f>IF($B29="","",$F29+$K29)</f>
        <v/>
      </c>
    </row>
    <row r="30" ht="20" customHeight="1" spans="1:12" x14ac:dyDescent="0.25">
      <c r="A30" s="10"/>
      <c r="B30" s="22"/>
      <c r="C30" s="10"/>
      <c r="D30" s="16"/>
      <c r="E30" s="16"/>
      <c r="F30" s="17" t="str">
        <f>IF($B30="","",IF($D30&lt;&gt;"",$D30,N($L29)))</f>
        <v/>
      </c>
      <c r="G30" s="17" t="str">
        <f>IF($B30="","",SUMPRODUCT(--('Transactions'!$B$2:$B$5000=$B30),--('Transactions'!$C$2:$C$5000="Revenu"),'Transactions'!$E$2:$E$5000))</f>
        <v/>
      </c>
      <c r="H30" s="17" t="str">
        <f>IF($B30="","",SUMPRODUCT(--('Transactions'!$B$2:$B$5000=$B30),--('Transactions'!$C$2:$C$5000&lt;&gt;"Revenu"),--('Transactions'!$F$2:$F$5000&lt;&gt;'Réglages'!$B$3),'Transactions'!$E$2:$E$5000))</f>
        <v/>
      </c>
      <c r="I30" s="17" t="str">
        <f>IF($B30="","",SUMPRODUCT(--('Transactions'!$B$2:$B$5000=$B30),--('Transactions'!$F$2:$F$5000='Réglages'!$B$3),'Transactions'!$E$2:$E$5000))</f>
        <v/>
      </c>
      <c r="J30" s="23" t="str">
        <f>IF($B30="","",IF($G30&gt;0,$I30/$G30,0))</f>
        <v/>
      </c>
      <c r="K30" s="17" t="str">
        <f>IF($B30="","",$G30-$H30-$I30)</f>
        <v/>
      </c>
      <c r="L30" s="17" t="str">
        <f>IF($B30="","",$F30+$K30)</f>
        <v/>
      </c>
    </row>
    <row r="31" ht="20" customHeight="1" spans="1:12" x14ac:dyDescent="0.25">
      <c r="A31" s="10"/>
      <c r="B31" s="22"/>
      <c r="C31" s="10"/>
      <c r="D31" s="16"/>
      <c r="E31" s="16"/>
      <c r="F31" s="17" t="str">
        <f>IF($B31="","",IF($D31&lt;&gt;"",$D31,N($L30)))</f>
        <v/>
      </c>
      <c r="G31" s="17" t="str">
        <f>IF($B31="","",SUMPRODUCT(--('Transactions'!$B$2:$B$5000=$B31),--('Transactions'!$C$2:$C$5000="Revenu"),'Transactions'!$E$2:$E$5000))</f>
        <v/>
      </c>
      <c r="H31" s="17" t="str">
        <f>IF($B31="","",SUMPRODUCT(--('Transactions'!$B$2:$B$5000=$B31),--('Transactions'!$C$2:$C$5000&lt;&gt;"Revenu"),--('Transactions'!$F$2:$F$5000&lt;&gt;'Réglages'!$B$3),'Transactions'!$E$2:$E$5000))</f>
        <v/>
      </c>
      <c r="I31" s="17" t="str">
        <f>IF($B31="","",SUMPRODUCT(--('Transactions'!$B$2:$B$5000=$B31),--('Transactions'!$F$2:$F$5000='Réglages'!$B$3),'Transactions'!$E$2:$E$5000))</f>
        <v/>
      </c>
      <c r="J31" s="23" t="str">
        <f>IF($B31="","",IF($G31&gt;0,$I31/$G31,0))</f>
        <v/>
      </c>
      <c r="K31" s="17" t="str">
        <f>IF($B31="","",$G31-$H31-$I31)</f>
        <v/>
      </c>
      <c r="L31" s="17" t="str">
        <f>IF($B31="","",$F31+$K31)</f>
        <v/>
      </c>
    </row>
    <row r="32" ht="20" customHeight="1" spans="1:12" x14ac:dyDescent="0.25">
      <c r="A32" s="10"/>
      <c r="B32" s="22"/>
      <c r="C32" s="10"/>
      <c r="D32" s="16"/>
      <c r="E32" s="16"/>
      <c r="F32" s="17" t="str">
        <f>IF($B32="","",IF($D32&lt;&gt;"",$D32,N($L31)))</f>
        <v/>
      </c>
      <c r="G32" s="17" t="str">
        <f>IF($B32="","",SUMPRODUCT(--('Transactions'!$B$2:$B$5000=$B32),--('Transactions'!$C$2:$C$5000="Revenu"),'Transactions'!$E$2:$E$5000))</f>
        <v/>
      </c>
      <c r="H32" s="17" t="str">
        <f>IF($B32="","",SUMPRODUCT(--('Transactions'!$B$2:$B$5000=$B32),--('Transactions'!$C$2:$C$5000&lt;&gt;"Revenu"),--('Transactions'!$F$2:$F$5000&lt;&gt;'Réglages'!$B$3),'Transactions'!$E$2:$E$5000))</f>
        <v/>
      </c>
      <c r="I32" s="17" t="str">
        <f>IF($B32="","",SUMPRODUCT(--('Transactions'!$B$2:$B$5000=$B32),--('Transactions'!$F$2:$F$5000='Réglages'!$B$3),'Transactions'!$E$2:$E$5000))</f>
        <v/>
      </c>
      <c r="J32" s="23" t="str">
        <f>IF($B32="","",IF($G32&gt;0,$I32/$G32,0))</f>
        <v/>
      </c>
      <c r="K32" s="17" t="str">
        <f>IF($B32="","",$G32-$H32-$I32)</f>
        <v/>
      </c>
      <c r="L32" s="17" t="str">
        <f>IF($B32="","",$F32+$K32)</f>
        <v/>
      </c>
    </row>
    <row r="33" ht="20" customHeight="1" spans="1:12" x14ac:dyDescent="0.25">
      <c r="A33" s="10"/>
      <c r="B33" s="22"/>
      <c r="C33" s="10"/>
      <c r="D33" s="16"/>
      <c r="E33" s="16"/>
      <c r="F33" s="17" t="str">
        <f>IF($B33="","",IF($D33&lt;&gt;"",$D33,N($L32)))</f>
        <v/>
      </c>
      <c r="G33" s="17" t="str">
        <f>IF($B33="","",SUMPRODUCT(--('Transactions'!$B$2:$B$5000=$B33),--('Transactions'!$C$2:$C$5000="Revenu"),'Transactions'!$E$2:$E$5000))</f>
        <v/>
      </c>
      <c r="H33" s="17" t="str">
        <f>IF($B33="","",SUMPRODUCT(--('Transactions'!$B$2:$B$5000=$B33),--('Transactions'!$C$2:$C$5000&lt;&gt;"Revenu"),--('Transactions'!$F$2:$F$5000&lt;&gt;'Réglages'!$B$3),'Transactions'!$E$2:$E$5000))</f>
        <v/>
      </c>
      <c r="I33" s="17" t="str">
        <f>IF($B33="","",SUMPRODUCT(--('Transactions'!$B$2:$B$5000=$B33),--('Transactions'!$F$2:$F$5000='Réglages'!$B$3),'Transactions'!$E$2:$E$5000))</f>
        <v/>
      </c>
      <c r="J33" s="23" t="str">
        <f>IF($B33="","",IF($G33&gt;0,$I33/$G33,0))</f>
        <v/>
      </c>
      <c r="K33" s="17" t="str">
        <f>IF($B33="","",$G33-$H33-$I33)</f>
        <v/>
      </c>
      <c r="L33" s="17" t="str">
        <f>IF($B33="","",$F33+$K33)</f>
        <v/>
      </c>
    </row>
    <row r="34" ht="20" customHeight="1" spans="1:12" x14ac:dyDescent="0.25">
      <c r="A34" s="10"/>
      <c r="B34" s="22"/>
      <c r="C34" s="10"/>
      <c r="D34" s="16"/>
      <c r="E34" s="16"/>
      <c r="F34" s="17" t="str">
        <f>IF($B34="","",IF($D34&lt;&gt;"",$D34,N($L33)))</f>
        <v/>
      </c>
      <c r="G34" s="17" t="str">
        <f>IF($B34="","",SUMPRODUCT(--('Transactions'!$B$2:$B$5000=$B34),--('Transactions'!$C$2:$C$5000="Revenu"),'Transactions'!$E$2:$E$5000))</f>
        <v/>
      </c>
      <c r="H34" s="17" t="str">
        <f>IF($B34="","",SUMPRODUCT(--('Transactions'!$B$2:$B$5000=$B34),--('Transactions'!$C$2:$C$5000&lt;&gt;"Revenu"),--('Transactions'!$F$2:$F$5000&lt;&gt;'Réglages'!$B$3),'Transactions'!$E$2:$E$5000))</f>
        <v/>
      </c>
      <c r="I34" s="17" t="str">
        <f>IF($B34="","",SUMPRODUCT(--('Transactions'!$B$2:$B$5000=$B34),--('Transactions'!$F$2:$F$5000='Réglages'!$B$3),'Transactions'!$E$2:$E$5000))</f>
        <v/>
      </c>
      <c r="J34" s="23" t="str">
        <f>IF($B34="","",IF($G34&gt;0,$I34/$G34,0))</f>
        <v/>
      </c>
      <c r="K34" s="17" t="str">
        <f>IF($B34="","",$G34-$H34-$I34)</f>
        <v/>
      </c>
      <c r="L34" s="17" t="str">
        <f>IF($B34="","",$F34+$K34)</f>
        <v/>
      </c>
    </row>
    <row r="35" ht="20" customHeight="1" spans="1:12" x14ac:dyDescent="0.25">
      <c r="A35" s="10"/>
      <c r="B35" s="22"/>
      <c r="C35" s="10"/>
      <c r="D35" s="16"/>
      <c r="E35" s="16"/>
      <c r="F35" s="17" t="str">
        <f>IF($B35="","",IF($D35&lt;&gt;"",$D35,N($L34)))</f>
        <v/>
      </c>
      <c r="G35" s="17" t="str">
        <f>IF($B35="","",SUMPRODUCT(--('Transactions'!$B$2:$B$5000=$B35),--('Transactions'!$C$2:$C$5000="Revenu"),'Transactions'!$E$2:$E$5000))</f>
        <v/>
      </c>
      <c r="H35" s="17" t="str">
        <f>IF($B35="","",SUMPRODUCT(--('Transactions'!$B$2:$B$5000=$B35),--('Transactions'!$C$2:$C$5000&lt;&gt;"Revenu"),--('Transactions'!$F$2:$F$5000&lt;&gt;'Réglages'!$B$3),'Transactions'!$E$2:$E$5000))</f>
        <v/>
      </c>
      <c r="I35" s="17" t="str">
        <f>IF($B35="","",SUMPRODUCT(--('Transactions'!$B$2:$B$5000=$B35),--('Transactions'!$F$2:$F$5000='Réglages'!$B$3),'Transactions'!$E$2:$E$5000))</f>
        <v/>
      </c>
      <c r="J35" s="23" t="str">
        <f>IF($B35="","",IF($G35&gt;0,$I35/$G35,0))</f>
        <v/>
      </c>
      <c r="K35" s="17" t="str">
        <f>IF($B35="","",$G35-$H35-$I35)</f>
        <v/>
      </c>
      <c r="L35" s="17" t="str">
        <f>IF($B35="","",$F35+$K35)</f>
        <v/>
      </c>
    </row>
    <row r="36" ht="20" customHeight="1" spans="1:12" x14ac:dyDescent="0.25">
      <c r="A36" s="10"/>
      <c r="B36" s="22"/>
      <c r="C36" s="10"/>
      <c r="D36" s="16"/>
      <c r="E36" s="16"/>
      <c r="F36" s="17" t="str">
        <f>IF($B36="","",IF($D36&lt;&gt;"",$D36,N($L35)))</f>
        <v/>
      </c>
      <c r="G36" s="17" t="str">
        <f>IF($B36="","",SUMPRODUCT(--('Transactions'!$B$2:$B$5000=$B36),--('Transactions'!$C$2:$C$5000="Revenu"),'Transactions'!$E$2:$E$5000))</f>
        <v/>
      </c>
      <c r="H36" s="17" t="str">
        <f>IF($B36="","",SUMPRODUCT(--('Transactions'!$B$2:$B$5000=$B36),--('Transactions'!$C$2:$C$5000&lt;&gt;"Revenu"),--('Transactions'!$F$2:$F$5000&lt;&gt;'Réglages'!$B$3),'Transactions'!$E$2:$E$5000))</f>
        <v/>
      </c>
      <c r="I36" s="17" t="str">
        <f>IF($B36="","",SUMPRODUCT(--('Transactions'!$B$2:$B$5000=$B36),--('Transactions'!$F$2:$F$5000='Réglages'!$B$3),'Transactions'!$E$2:$E$5000))</f>
        <v/>
      </c>
      <c r="J36" s="23" t="str">
        <f>IF($B36="","",IF($G36&gt;0,$I36/$G36,0))</f>
        <v/>
      </c>
      <c r="K36" s="17" t="str">
        <f>IF($B36="","",$G36-$H36-$I36)</f>
        <v/>
      </c>
      <c r="L36" s="17" t="str">
        <f>IF($B36="","",$F36+$K36)</f>
        <v/>
      </c>
    </row>
    <row r="37" ht="20" customHeight="1" spans="1:12" x14ac:dyDescent="0.25">
      <c r="A37" s="10"/>
      <c r="B37" s="22"/>
      <c r="C37" s="10"/>
      <c r="D37" s="16"/>
      <c r="E37" s="16"/>
      <c r="F37" s="17" t="str">
        <f>IF($B37="","",IF($D37&lt;&gt;"",$D37,N($L36)))</f>
        <v/>
      </c>
      <c r="G37" s="17" t="str">
        <f>IF($B37="","",SUMPRODUCT(--('Transactions'!$B$2:$B$5000=$B37),--('Transactions'!$C$2:$C$5000="Revenu"),'Transactions'!$E$2:$E$5000))</f>
        <v/>
      </c>
      <c r="H37" s="17" t="str">
        <f>IF($B37="","",SUMPRODUCT(--('Transactions'!$B$2:$B$5000=$B37),--('Transactions'!$C$2:$C$5000&lt;&gt;"Revenu"),--('Transactions'!$F$2:$F$5000&lt;&gt;'Réglages'!$B$3),'Transactions'!$E$2:$E$5000))</f>
        <v/>
      </c>
      <c r="I37" s="17" t="str">
        <f>IF($B37="","",SUMPRODUCT(--('Transactions'!$B$2:$B$5000=$B37),--('Transactions'!$F$2:$F$5000='Réglages'!$B$3),'Transactions'!$E$2:$E$5000))</f>
        <v/>
      </c>
      <c r="J37" s="23" t="str">
        <f>IF($B37="","",IF($G37&gt;0,$I37/$G37,0))</f>
        <v/>
      </c>
      <c r="K37" s="17" t="str">
        <f>IF($B37="","",$G37-$H37-$I37)</f>
        <v/>
      </c>
      <c r="L37" s="17" t="str">
        <f>IF($B37="","",$F37+$K37)</f>
        <v/>
      </c>
    </row>
    <row r="38" ht="20" customHeight="1" spans="1:12" x14ac:dyDescent="0.25">
      <c r="A38" s="10"/>
      <c r="B38" s="22"/>
      <c r="C38" s="10"/>
      <c r="D38" s="16"/>
      <c r="E38" s="16"/>
      <c r="F38" s="17" t="str">
        <f>IF($B38="","",IF($D38&lt;&gt;"",$D38,N($L37)))</f>
        <v/>
      </c>
      <c r="G38" s="17" t="str">
        <f>IF($B38="","",SUMPRODUCT(--('Transactions'!$B$2:$B$5000=$B38),--('Transactions'!$C$2:$C$5000="Revenu"),'Transactions'!$E$2:$E$5000))</f>
        <v/>
      </c>
      <c r="H38" s="17" t="str">
        <f>IF($B38="","",SUMPRODUCT(--('Transactions'!$B$2:$B$5000=$B38),--('Transactions'!$C$2:$C$5000&lt;&gt;"Revenu"),--('Transactions'!$F$2:$F$5000&lt;&gt;'Réglages'!$B$3),'Transactions'!$E$2:$E$5000))</f>
        <v/>
      </c>
      <c r="I38" s="17" t="str">
        <f>IF($B38="","",SUMPRODUCT(--('Transactions'!$B$2:$B$5000=$B38),--('Transactions'!$F$2:$F$5000='Réglages'!$B$3),'Transactions'!$E$2:$E$5000))</f>
        <v/>
      </c>
      <c r="J38" s="23" t="str">
        <f>IF($B38="","",IF($G38&gt;0,$I38/$G38,0))</f>
        <v/>
      </c>
      <c r="K38" s="17" t="str">
        <f>IF($B38="","",$G38-$H38-$I38)</f>
        <v/>
      </c>
      <c r="L38" s="17" t="str">
        <f>IF($B38="","",$F38+$K38)</f>
        <v/>
      </c>
    </row>
    <row r="39" ht="20" customHeight="1" spans="1:12" x14ac:dyDescent="0.25">
      <c r="A39" s="10"/>
      <c r="B39" s="22"/>
      <c r="C39" s="10"/>
      <c r="D39" s="16"/>
      <c r="E39" s="16"/>
      <c r="F39" s="17" t="str">
        <f>IF($B39="","",IF($D39&lt;&gt;"",$D39,N($L38)))</f>
        <v/>
      </c>
      <c r="G39" s="17" t="str">
        <f>IF($B39="","",SUMPRODUCT(--('Transactions'!$B$2:$B$5000=$B39),--('Transactions'!$C$2:$C$5000="Revenu"),'Transactions'!$E$2:$E$5000))</f>
        <v/>
      </c>
      <c r="H39" s="17" t="str">
        <f>IF($B39="","",SUMPRODUCT(--('Transactions'!$B$2:$B$5000=$B39),--('Transactions'!$C$2:$C$5000&lt;&gt;"Revenu"),--('Transactions'!$F$2:$F$5000&lt;&gt;'Réglages'!$B$3),'Transactions'!$E$2:$E$5000))</f>
        <v/>
      </c>
      <c r="I39" s="17" t="str">
        <f>IF($B39="","",SUMPRODUCT(--('Transactions'!$B$2:$B$5000=$B39),--('Transactions'!$F$2:$F$5000='Réglages'!$B$3),'Transactions'!$E$2:$E$5000))</f>
        <v/>
      </c>
      <c r="J39" s="23" t="str">
        <f>IF($B39="","",IF($G39&gt;0,$I39/$G39,0))</f>
        <v/>
      </c>
      <c r="K39" s="17" t="str">
        <f>IF($B39="","",$G39-$H39-$I39)</f>
        <v/>
      </c>
      <c r="L39" s="17" t="str">
        <f>IF($B39="","",$F39+$K39)</f>
        <v/>
      </c>
    </row>
    <row r="40" ht="20" customHeight="1" spans="1:12" x14ac:dyDescent="0.25">
      <c r="A40" s="10"/>
      <c r="B40" s="22"/>
      <c r="C40" s="10"/>
      <c r="D40" s="16"/>
      <c r="E40" s="16"/>
      <c r="F40" s="17" t="str">
        <f>IF($B40="","",IF($D40&lt;&gt;"",$D40,N($L39)))</f>
        <v/>
      </c>
      <c r="G40" s="17" t="str">
        <f>IF($B40="","",SUMPRODUCT(--('Transactions'!$B$2:$B$5000=$B40),--('Transactions'!$C$2:$C$5000="Revenu"),'Transactions'!$E$2:$E$5000))</f>
        <v/>
      </c>
      <c r="H40" s="17" t="str">
        <f>IF($B40="","",SUMPRODUCT(--('Transactions'!$B$2:$B$5000=$B40),--('Transactions'!$C$2:$C$5000&lt;&gt;"Revenu"),--('Transactions'!$F$2:$F$5000&lt;&gt;'Réglages'!$B$3),'Transactions'!$E$2:$E$5000))</f>
        <v/>
      </c>
      <c r="I40" s="17" t="str">
        <f>IF($B40="","",SUMPRODUCT(--('Transactions'!$B$2:$B$5000=$B40),--('Transactions'!$F$2:$F$5000='Réglages'!$B$3),'Transactions'!$E$2:$E$5000))</f>
        <v/>
      </c>
      <c r="J40" s="23" t="str">
        <f>IF($B40="","",IF($G40&gt;0,$I40/$G40,0))</f>
        <v/>
      </c>
      <c r="K40" s="17" t="str">
        <f>IF($B40="","",$G40-$H40-$I40)</f>
        <v/>
      </c>
      <c r="L40" s="17" t="str">
        <f>IF($B40="","",$F40+$K40)</f>
        <v/>
      </c>
    </row>
    <row r="41" ht="20" customHeight="1" spans="1:12" x14ac:dyDescent="0.25">
      <c r="A41" s="10"/>
      <c r="B41" s="22"/>
      <c r="C41" s="10"/>
      <c r="D41" s="16"/>
      <c r="E41" s="16"/>
      <c r="F41" s="17" t="str">
        <f>IF($B41="","",IF($D41&lt;&gt;"",$D41,N($L40)))</f>
        <v/>
      </c>
      <c r="G41" s="17" t="str">
        <f>IF($B41="","",SUMPRODUCT(--('Transactions'!$B$2:$B$5000=$B41),--('Transactions'!$C$2:$C$5000="Revenu"),'Transactions'!$E$2:$E$5000))</f>
        <v/>
      </c>
      <c r="H41" s="17" t="str">
        <f>IF($B41="","",SUMPRODUCT(--('Transactions'!$B$2:$B$5000=$B41),--('Transactions'!$C$2:$C$5000&lt;&gt;"Revenu"),--('Transactions'!$F$2:$F$5000&lt;&gt;'Réglages'!$B$3),'Transactions'!$E$2:$E$5000))</f>
        <v/>
      </c>
      <c r="I41" s="17" t="str">
        <f>IF($B41="","",SUMPRODUCT(--('Transactions'!$B$2:$B$5000=$B41),--('Transactions'!$F$2:$F$5000='Réglages'!$B$3),'Transactions'!$E$2:$E$5000))</f>
        <v/>
      </c>
      <c r="J41" s="23" t="str">
        <f>IF($B41="","",IF($G41&gt;0,$I41/$G41,0))</f>
        <v/>
      </c>
      <c r="K41" s="17" t="str">
        <f>IF($B41="","",$G41-$H41-$I41)</f>
        <v/>
      </c>
      <c r="L41" s="17" t="str">
        <f>IF($B41="","",$F41+$K41)</f>
        <v/>
      </c>
    </row>
    <row r="42" ht="20" customHeight="1" spans="1:12" x14ac:dyDescent="0.25">
      <c r="A42" s="10"/>
      <c r="B42" s="22"/>
      <c r="C42" s="10"/>
      <c r="D42" s="16"/>
      <c r="E42" s="16"/>
      <c r="F42" s="17" t="str">
        <f>IF($B42="","",IF($D42&lt;&gt;"",$D42,N($L41)))</f>
        <v/>
      </c>
      <c r="G42" s="17" t="str">
        <f>IF($B42="","",SUMPRODUCT(--('Transactions'!$B$2:$B$5000=$B42),--('Transactions'!$C$2:$C$5000="Revenu"),'Transactions'!$E$2:$E$5000))</f>
        <v/>
      </c>
      <c r="H42" s="17" t="str">
        <f>IF($B42="","",SUMPRODUCT(--('Transactions'!$B$2:$B$5000=$B42),--('Transactions'!$C$2:$C$5000&lt;&gt;"Revenu"),--('Transactions'!$F$2:$F$5000&lt;&gt;'Réglages'!$B$3),'Transactions'!$E$2:$E$5000))</f>
        <v/>
      </c>
      <c r="I42" s="17" t="str">
        <f>IF($B42="","",SUMPRODUCT(--('Transactions'!$B$2:$B$5000=$B42),--('Transactions'!$F$2:$F$5000='Réglages'!$B$3),'Transactions'!$E$2:$E$5000))</f>
        <v/>
      </c>
      <c r="J42" s="23" t="str">
        <f>IF($B42="","",IF($G42&gt;0,$I42/$G42,0))</f>
        <v/>
      </c>
      <c r="K42" s="17" t="str">
        <f>IF($B42="","",$G42-$H42-$I42)</f>
        <v/>
      </c>
      <c r="L42" s="17" t="str">
        <f>IF($B42="","",$F42+$K42)</f>
        <v/>
      </c>
    </row>
    <row r="43" ht="20" customHeight="1" spans="1:12" x14ac:dyDescent="0.25">
      <c r="A43" s="10"/>
      <c r="B43" s="22"/>
      <c r="C43" s="10"/>
      <c r="D43" s="16"/>
      <c r="E43" s="16"/>
      <c r="F43" s="17" t="str">
        <f>IF($B43="","",IF($D43&lt;&gt;"",$D43,N($L42)))</f>
        <v/>
      </c>
      <c r="G43" s="17" t="str">
        <f>IF($B43="","",SUMPRODUCT(--('Transactions'!$B$2:$B$5000=$B43),--('Transactions'!$C$2:$C$5000="Revenu"),'Transactions'!$E$2:$E$5000))</f>
        <v/>
      </c>
      <c r="H43" s="17" t="str">
        <f>IF($B43="","",SUMPRODUCT(--('Transactions'!$B$2:$B$5000=$B43),--('Transactions'!$C$2:$C$5000&lt;&gt;"Revenu"),--('Transactions'!$F$2:$F$5000&lt;&gt;'Réglages'!$B$3),'Transactions'!$E$2:$E$5000))</f>
        <v/>
      </c>
      <c r="I43" s="17" t="str">
        <f>IF($B43="","",SUMPRODUCT(--('Transactions'!$B$2:$B$5000=$B43),--('Transactions'!$F$2:$F$5000='Réglages'!$B$3),'Transactions'!$E$2:$E$5000))</f>
        <v/>
      </c>
      <c r="J43" s="23" t="str">
        <f>IF($B43="","",IF($G43&gt;0,$I43/$G43,0))</f>
        <v/>
      </c>
      <c r="K43" s="17" t="str">
        <f>IF($B43="","",$G43-$H43-$I43)</f>
        <v/>
      </c>
      <c r="L43" s="17" t="str">
        <f>IF($B43="","",$F43+$K43)</f>
        <v/>
      </c>
    </row>
    <row r="44" ht="20" customHeight="1" spans="1:12" x14ac:dyDescent="0.25">
      <c r="A44" s="10"/>
      <c r="B44" s="22"/>
      <c r="C44" s="10"/>
      <c r="D44" s="16"/>
      <c r="E44" s="16"/>
      <c r="F44" s="17" t="str">
        <f>IF($B44="","",IF($D44&lt;&gt;"",$D44,N($L43)))</f>
        <v/>
      </c>
      <c r="G44" s="17" t="str">
        <f>IF($B44="","",SUMPRODUCT(--('Transactions'!$B$2:$B$5000=$B44),--('Transactions'!$C$2:$C$5000="Revenu"),'Transactions'!$E$2:$E$5000))</f>
        <v/>
      </c>
      <c r="H44" s="17" t="str">
        <f>IF($B44="","",SUMPRODUCT(--('Transactions'!$B$2:$B$5000=$B44),--('Transactions'!$C$2:$C$5000&lt;&gt;"Revenu"),--('Transactions'!$F$2:$F$5000&lt;&gt;'Réglages'!$B$3),'Transactions'!$E$2:$E$5000))</f>
        <v/>
      </c>
      <c r="I44" s="17" t="str">
        <f>IF($B44="","",SUMPRODUCT(--('Transactions'!$B$2:$B$5000=$B44),--('Transactions'!$F$2:$F$5000='Réglages'!$B$3),'Transactions'!$E$2:$E$5000))</f>
        <v/>
      </c>
      <c r="J44" s="23" t="str">
        <f>IF($B44="","",IF($G44&gt;0,$I44/$G44,0))</f>
        <v/>
      </c>
      <c r="K44" s="17" t="str">
        <f>IF($B44="","",$G44-$H44-$I44)</f>
        <v/>
      </c>
      <c r="L44" s="17" t="str">
        <f>IF($B44="","",$F44+$K44)</f>
        <v/>
      </c>
    </row>
    <row r="45" ht="20" customHeight="1" spans="1:12" x14ac:dyDescent="0.25">
      <c r="A45" s="10"/>
      <c r="B45" s="22"/>
      <c r="C45" s="10"/>
      <c r="D45" s="16"/>
      <c r="E45" s="16"/>
      <c r="F45" s="17" t="str">
        <f>IF($B45="","",IF($D45&lt;&gt;"",$D45,N($L44)))</f>
        <v/>
      </c>
      <c r="G45" s="17" t="str">
        <f>IF($B45="","",SUMPRODUCT(--('Transactions'!$B$2:$B$5000=$B45),--('Transactions'!$C$2:$C$5000="Revenu"),'Transactions'!$E$2:$E$5000))</f>
        <v/>
      </c>
      <c r="H45" s="17" t="str">
        <f>IF($B45="","",SUMPRODUCT(--('Transactions'!$B$2:$B$5000=$B45),--('Transactions'!$C$2:$C$5000&lt;&gt;"Revenu"),--('Transactions'!$F$2:$F$5000&lt;&gt;'Réglages'!$B$3),'Transactions'!$E$2:$E$5000))</f>
        <v/>
      </c>
      <c r="I45" s="17" t="str">
        <f>IF($B45="","",SUMPRODUCT(--('Transactions'!$B$2:$B$5000=$B45),--('Transactions'!$F$2:$F$5000='Réglages'!$B$3),'Transactions'!$E$2:$E$5000))</f>
        <v/>
      </c>
      <c r="J45" s="23" t="str">
        <f>IF($B45="","",IF($G45&gt;0,$I45/$G45,0))</f>
        <v/>
      </c>
      <c r="K45" s="17" t="str">
        <f>IF($B45="","",$G45-$H45-$I45)</f>
        <v/>
      </c>
      <c r="L45" s="17" t="str">
        <f>IF($B45="","",$F45+$K45)</f>
        <v/>
      </c>
    </row>
    <row r="46" ht="20" customHeight="1" spans="1:12" x14ac:dyDescent="0.25">
      <c r="A46" s="10"/>
      <c r="B46" s="22"/>
      <c r="C46" s="10"/>
      <c r="D46" s="16"/>
      <c r="E46" s="16"/>
      <c r="F46" s="17" t="str">
        <f>IF($B46="","",IF($D46&lt;&gt;"",$D46,N($L45)))</f>
        <v/>
      </c>
      <c r="G46" s="17" t="str">
        <f>IF($B46="","",SUMPRODUCT(--('Transactions'!$B$2:$B$5000=$B46),--('Transactions'!$C$2:$C$5000="Revenu"),'Transactions'!$E$2:$E$5000))</f>
        <v/>
      </c>
      <c r="H46" s="17" t="str">
        <f>IF($B46="","",SUMPRODUCT(--('Transactions'!$B$2:$B$5000=$B46),--('Transactions'!$C$2:$C$5000&lt;&gt;"Revenu"),--('Transactions'!$F$2:$F$5000&lt;&gt;'Réglages'!$B$3),'Transactions'!$E$2:$E$5000))</f>
        <v/>
      </c>
      <c r="I46" s="17" t="str">
        <f>IF($B46="","",SUMPRODUCT(--('Transactions'!$B$2:$B$5000=$B46),--('Transactions'!$F$2:$F$5000='Réglages'!$B$3),'Transactions'!$E$2:$E$5000))</f>
        <v/>
      </c>
      <c r="J46" s="23" t="str">
        <f>IF($B46="","",IF($G46&gt;0,$I46/$G46,0))</f>
        <v/>
      </c>
      <c r="K46" s="17" t="str">
        <f>IF($B46="","",$G46-$H46-$I46)</f>
        <v/>
      </c>
      <c r="L46" s="17" t="str">
        <f>IF($B46="","",$F46+$K46)</f>
        <v/>
      </c>
    </row>
    <row r="47" ht="20" customHeight="1" spans="1:12" x14ac:dyDescent="0.25">
      <c r="A47" s="10"/>
      <c r="B47" s="22"/>
      <c r="C47" s="10"/>
      <c r="D47" s="16"/>
      <c r="E47" s="16"/>
      <c r="F47" s="17" t="str">
        <f>IF($B47="","",IF($D47&lt;&gt;"",$D47,N($L46)))</f>
        <v/>
      </c>
      <c r="G47" s="17" t="str">
        <f>IF($B47="","",SUMPRODUCT(--('Transactions'!$B$2:$B$5000=$B47),--('Transactions'!$C$2:$C$5000="Revenu"),'Transactions'!$E$2:$E$5000))</f>
        <v/>
      </c>
      <c r="H47" s="17" t="str">
        <f>IF($B47="","",SUMPRODUCT(--('Transactions'!$B$2:$B$5000=$B47),--('Transactions'!$C$2:$C$5000&lt;&gt;"Revenu"),--('Transactions'!$F$2:$F$5000&lt;&gt;'Réglages'!$B$3),'Transactions'!$E$2:$E$5000))</f>
        <v/>
      </c>
      <c r="I47" s="17" t="str">
        <f>IF($B47="","",SUMPRODUCT(--('Transactions'!$B$2:$B$5000=$B47),--('Transactions'!$F$2:$F$5000='Réglages'!$B$3),'Transactions'!$E$2:$E$5000))</f>
        <v/>
      </c>
      <c r="J47" s="23" t="str">
        <f>IF($B47="","",IF($G47&gt;0,$I47/$G47,0))</f>
        <v/>
      </c>
      <c r="K47" s="17" t="str">
        <f>IF($B47="","",$G47-$H47-$I47)</f>
        <v/>
      </c>
      <c r="L47" s="17" t="str">
        <f>IF($B47="","",$F47+$K47)</f>
        <v/>
      </c>
    </row>
    <row r="48" ht="20" customHeight="1" spans="1:12" x14ac:dyDescent="0.25">
      <c r="A48" s="10"/>
      <c r="B48" s="22"/>
      <c r="C48" s="10"/>
      <c r="D48" s="16"/>
      <c r="E48" s="16"/>
      <c r="F48" s="17" t="str">
        <f>IF($B48="","",IF($D48&lt;&gt;"",$D48,N($L47)))</f>
        <v/>
      </c>
      <c r="G48" s="17" t="str">
        <f>IF($B48="","",SUMPRODUCT(--('Transactions'!$B$2:$B$5000=$B48),--('Transactions'!$C$2:$C$5000="Revenu"),'Transactions'!$E$2:$E$5000))</f>
        <v/>
      </c>
      <c r="H48" s="17" t="str">
        <f>IF($B48="","",SUMPRODUCT(--('Transactions'!$B$2:$B$5000=$B48),--('Transactions'!$C$2:$C$5000&lt;&gt;"Revenu"),--('Transactions'!$F$2:$F$5000&lt;&gt;'Réglages'!$B$3),'Transactions'!$E$2:$E$5000))</f>
        <v/>
      </c>
      <c r="I48" s="17" t="str">
        <f>IF($B48="","",SUMPRODUCT(--('Transactions'!$B$2:$B$5000=$B48),--('Transactions'!$F$2:$F$5000='Réglages'!$B$3),'Transactions'!$E$2:$E$5000))</f>
        <v/>
      </c>
      <c r="J48" s="23" t="str">
        <f>IF($B48="","",IF($G48&gt;0,$I48/$G48,0))</f>
        <v/>
      </c>
      <c r="K48" s="17" t="str">
        <f>IF($B48="","",$G48-$H48-$I48)</f>
        <v/>
      </c>
      <c r="L48" s="17" t="str">
        <f>IF($B48="","",$F48+$K48)</f>
        <v/>
      </c>
    </row>
    <row r="49" ht="20" customHeight="1" spans="1:12" x14ac:dyDescent="0.25">
      <c r="A49" s="10"/>
      <c r="B49" s="22"/>
      <c r="C49" s="10"/>
      <c r="D49" s="16"/>
      <c r="E49" s="16"/>
      <c r="F49" s="17" t="str">
        <f>IF($B49="","",IF($D49&lt;&gt;"",$D49,N($L48)))</f>
        <v/>
      </c>
      <c r="G49" s="17" t="str">
        <f>IF($B49="","",SUMPRODUCT(--('Transactions'!$B$2:$B$5000=$B49),--('Transactions'!$C$2:$C$5000="Revenu"),'Transactions'!$E$2:$E$5000))</f>
        <v/>
      </c>
      <c r="H49" s="17" t="str">
        <f>IF($B49="","",SUMPRODUCT(--('Transactions'!$B$2:$B$5000=$B49),--('Transactions'!$C$2:$C$5000&lt;&gt;"Revenu"),--('Transactions'!$F$2:$F$5000&lt;&gt;'Réglages'!$B$3),'Transactions'!$E$2:$E$5000))</f>
        <v/>
      </c>
      <c r="I49" s="17" t="str">
        <f>IF($B49="","",SUMPRODUCT(--('Transactions'!$B$2:$B$5000=$B49),--('Transactions'!$F$2:$F$5000='Réglages'!$B$3),'Transactions'!$E$2:$E$5000))</f>
        <v/>
      </c>
      <c r="J49" s="23" t="str">
        <f>IF($B49="","",IF($G49&gt;0,$I49/$G49,0))</f>
        <v/>
      </c>
      <c r="K49" s="17" t="str">
        <f>IF($B49="","",$G49-$H49-$I49)</f>
        <v/>
      </c>
      <c r="L49" s="17" t="str">
        <f>IF($B49="","",$F49+$K49)</f>
        <v/>
      </c>
    </row>
    <row r="50" ht="20" customHeight="1" spans="1:12" x14ac:dyDescent="0.25">
      <c r="A50" s="10"/>
      <c r="B50" s="22"/>
      <c r="C50" s="10"/>
      <c r="D50" s="16"/>
      <c r="E50" s="16"/>
      <c r="F50" s="17" t="str">
        <f>IF($B50="","",IF($D50&lt;&gt;"",$D50,N($L49)))</f>
        <v/>
      </c>
      <c r="G50" s="17" t="str">
        <f>IF($B50="","",SUMPRODUCT(--('Transactions'!$B$2:$B$5000=$B50),--('Transactions'!$C$2:$C$5000="Revenu"),'Transactions'!$E$2:$E$5000))</f>
        <v/>
      </c>
      <c r="H50" s="17" t="str">
        <f>IF($B50="","",SUMPRODUCT(--('Transactions'!$B$2:$B$5000=$B50),--('Transactions'!$C$2:$C$5000&lt;&gt;"Revenu"),--('Transactions'!$F$2:$F$5000&lt;&gt;'Réglages'!$B$3),'Transactions'!$E$2:$E$5000))</f>
        <v/>
      </c>
      <c r="I50" s="17" t="str">
        <f>IF($B50="","",SUMPRODUCT(--('Transactions'!$B$2:$B$5000=$B50),--('Transactions'!$F$2:$F$5000='Réglages'!$B$3),'Transactions'!$E$2:$E$5000))</f>
        <v/>
      </c>
      <c r="J50" s="23" t="str">
        <f>IF($B50="","",IF($G50&gt;0,$I50/$G50,0))</f>
        <v/>
      </c>
      <c r="K50" s="17" t="str">
        <f>IF($B50="","",$G50-$H50-$I50)</f>
        <v/>
      </c>
      <c r="L50" s="17" t="str">
        <f>IF($B50="","",$F50+$K50)</f>
        <v/>
      </c>
    </row>
    <row r="51" ht="20" customHeight="1" spans="1:12" x14ac:dyDescent="0.25">
      <c r="A51" s="10"/>
      <c r="B51" s="22"/>
      <c r="C51" s="10"/>
      <c r="D51" s="16"/>
      <c r="E51" s="16"/>
      <c r="F51" s="17" t="str">
        <f>IF($B51="","",IF($D51&lt;&gt;"",$D51,N($L50)))</f>
        <v/>
      </c>
      <c r="G51" s="17" t="str">
        <f>IF($B51="","",SUMPRODUCT(--('Transactions'!$B$2:$B$5000=$B51),--('Transactions'!$C$2:$C$5000="Revenu"),'Transactions'!$E$2:$E$5000))</f>
        <v/>
      </c>
      <c r="H51" s="17" t="str">
        <f>IF($B51="","",SUMPRODUCT(--('Transactions'!$B$2:$B$5000=$B51),--('Transactions'!$C$2:$C$5000&lt;&gt;"Revenu"),--('Transactions'!$F$2:$F$5000&lt;&gt;'Réglages'!$B$3),'Transactions'!$E$2:$E$5000))</f>
        <v/>
      </c>
      <c r="I51" s="17" t="str">
        <f>IF($B51="","",SUMPRODUCT(--('Transactions'!$B$2:$B$5000=$B51),--('Transactions'!$F$2:$F$5000='Réglages'!$B$3),'Transactions'!$E$2:$E$5000))</f>
        <v/>
      </c>
      <c r="J51" s="23" t="str">
        <f>IF($B51="","",IF($G51&gt;0,$I51/$G51,0))</f>
        <v/>
      </c>
      <c r="K51" s="17" t="str">
        <f>IF($B51="","",$G51-$H51-$I51)</f>
        <v/>
      </c>
      <c r="L51" s="17" t="str">
        <f>IF($B51="","",$F51+$K51)</f>
        <v/>
      </c>
    </row>
    <row r="52" ht="20" customHeight="1" spans="1:12" x14ac:dyDescent="0.25">
      <c r="A52" s="10"/>
      <c r="B52" s="22"/>
      <c r="C52" s="10"/>
      <c r="D52" s="16"/>
      <c r="E52" s="16"/>
      <c r="F52" s="17" t="str">
        <f>IF($B52="","",IF($D52&lt;&gt;"",$D52,N($L51)))</f>
        <v/>
      </c>
      <c r="G52" s="17" t="str">
        <f>IF($B52="","",SUMPRODUCT(--('Transactions'!$B$2:$B$5000=$B52),--('Transactions'!$C$2:$C$5000="Revenu"),'Transactions'!$E$2:$E$5000))</f>
        <v/>
      </c>
      <c r="H52" s="17" t="str">
        <f>IF($B52="","",SUMPRODUCT(--('Transactions'!$B$2:$B$5000=$B52),--('Transactions'!$C$2:$C$5000&lt;&gt;"Revenu"),--('Transactions'!$F$2:$F$5000&lt;&gt;'Réglages'!$B$3),'Transactions'!$E$2:$E$5000))</f>
        <v/>
      </c>
      <c r="I52" s="17" t="str">
        <f>IF($B52="","",SUMPRODUCT(--('Transactions'!$B$2:$B$5000=$B52),--('Transactions'!$F$2:$F$5000='Réglages'!$B$3),'Transactions'!$E$2:$E$5000))</f>
        <v/>
      </c>
      <c r="J52" s="23" t="str">
        <f>IF($B52="","",IF($G52&gt;0,$I52/$G52,0))</f>
        <v/>
      </c>
      <c r="K52" s="17" t="str">
        <f>IF($B52="","",$G52-$H52-$I52)</f>
        <v/>
      </c>
      <c r="L52" s="17" t="str">
        <f>IF($B52="","",$F52+$K52)</f>
        <v/>
      </c>
    </row>
    <row r="53" ht="20" customHeight="1" spans="1:12" x14ac:dyDescent="0.25">
      <c r="A53" s="10"/>
      <c r="B53" s="22"/>
      <c r="C53" s="10"/>
      <c r="D53" s="16"/>
      <c r="E53" s="16"/>
      <c r="F53" s="17" t="str">
        <f>IF($B53="","",IF($D53&lt;&gt;"",$D53,N($L52)))</f>
        <v/>
      </c>
      <c r="G53" s="17" t="str">
        <f>IF($B53="","",SUMPRODUCT(--('Transactions'!$B$2:$B$5000=$B53),--('Transactions'!$C$2:$C$5000="Revenu"),'Transactions'!$E$2:$E$5000))</f>
        <v/>
      </c>
      <c r="H53" s="17" t="str">
        <f>IF($B53="","",SUMPRODUCT(--('Transactions'!$B$2:$B$5000=$B53),--('Transactions'!$C$2:$C$5000&lt;&gt;"Revenu"),--('Transactions'!$F$2:$F$5000&lt;&gt;'Réglages'!$B$3),'Transactions'!$E$2:$E$5000))</f>
        <v/>
      </c>
      <c r="I53" s="17" t="str">
        <f>IF($B53="","",SUMPRODUCT(--('Transactions'!$B$2:$B$5000=$B53),--('Transactions'!$F$2:$F$5000='Réglages'!$B$3),'Transactions'!$E$2:$E$5000))</f>
        <v/>
      </c>
      <c r="J53" s="23" t="str">
        <f>IF($B53="","",IF($G53&gt;0,$I53/$G53,0))</f>
        <v/>
      </c>
      <c r="K53" s="17" t="str">
        <f>IF($B53="","",$G53-$H53-$I53)</f>
        <v/>
      </c>
      <c r="L53" s="17" t="str">
        <f>IF($B53="","",$F53+$K53)</f>
        <v/>
      </c>
    </row>
    <row r="54" ht="20" customHeight="1" spans="1:12" x14ac:dyDescent="0.25">
      <c r="A54" s="10"/>
      <c r="B54" s="22"/>
      <c r="C54" s="10"/>
      <c r="D54" s="16"/>
      <c r="E54" s="16"/>
      <c r="F54" s="17" t="str">
        <f>IF($B54="","",IF($D54&lt;&gt;"",$D54,N($L53)))</f>
        <v/>
      </c>
      <c r="G54" s="17" t="str">
        <f>IF($B54="","",SUMPRODUCT(--('Transactions'!$B$2:$B$5000=$B54),--('Transactions'!$C$2:$C$5000="Revenu"),'Transactions'!$E$2:$E$5000))</f>
        <v/>
      </c>
      <c r="H54" s="17" t="str">
        <f>IF($B54="","",SUMPRODUCT(--('Transactions'!$B$2:$B$5000=$B54),--('Transactions'!$C$2:$C$5000&lt;&gt;"Revenu"),--('Transactions'!$F$2:$F$5000&lt;&gt;'Réglages'!$B$3),'Transactions'!$E$2:$E$5000))</f>
        <v/>
      </c>
      <c r="I54" s="17" t="str">
        <f>IF($B54="","",SUMPRODUCT(--('Transactions'!$B$2:$B$5000=$B54),--('Transactions'!$F$2:$F$5000='Réglages'!$B$3),'Transactions'!$E$2:$E$5000))</f>
        <v/>
      </c>
      <c r="J54" s="23" t="str">
        <f>IF($B54="","",IF($G54&gt;0,$I54/$G54,0))</f>
        <v/>
      </c>
      <c r="K54" s="17" t="str">
        <f>IF($B54="","",$G54-$H54-$I54)</f>
        <v/>
      </c>
      <c r="L54" s="17" t="str">
        <f>IF($B54="","",$F54+$K54)</f>
        <v/>
      </c>
    </row>
    <row r="55" ht="20" customHeight="1" spans="1:12" x14ac:dyDescent="0.25">
      <c r="A55" s="10"/>
      <c r="B55" s="22"/>
      <c r="C55" s="10"/>
      <c r="D55" s="16"/>
      <c r="E55" s="16"/>
      <c r="F55" s="17" t="str">
        <f>IF($B55="","",IF($D55&lt;&gt;"",$D55,N($L54)))</f>
        <v/>
      </c>
      <c r="G55" s="17" t="str">
        <f>IF($B55="","",SUMPRODUCT(--('Transactions'!$B$2:$B$5000=$B55),--('Transactions'!$C$2:$C$5000="Revenu"),'Transactions'!$E$2:$E$5000))</f>
        <v/>
      </c>
      <c r="H55" s="17" t="str">
        <f>IF($B55="","",SUMPRODUCT(--('Transactions'!$B$2:$B$5000=$B55),--('Transactions'!$C$2:$C$5000&lt;&gt;"Revenu"),--('Transactions'!$F$2:$F$5000&lt;&gt;'Réglages'!$B$3),'Transactions'!$E$2:$E$5000))</f>
        <v/>
      </c>
      <c r="I55" s="17" t="str">
        <f>IF($B55="","",SUMPRODUCT(--('Transactions'!$B$2:$B$5000=$B55),--('Transactions'!$F$2:$F$5000='Réglages'!$B$3),'Transactions'!$E$2:$E$5000))</f>
        <v/>
      </c>
      <c r="J55" s="23" t="str">
        <f>IF($B55="","",IF($G55&gt;0,$I55/$G55,0))</f>
        <v/>
      </c>
      <c r="K55" s="17" t="str">
        <f>IF($B55="","",$G55-$H55-$I55)</f>
        <v/>
      </c>
      <c r="L55" s="17" t="str">
        <f>IF($B55="","",$F55+$K55)</f>
        <v/>
      </c>
    </row>
    <row r="56" ht="20" customHeight="1" spans="1:12" x14ac:dyDescent="0.25">
      <c r="A56" s="10"/>
      <c r="B56" s="22"/>
      <c r="C56" s="10"/>
      <c r="D56" s="16"/>
      <c r="E56" s="16"/>
      <c r="F56" s="17" t="str">
        <f>IF($B56="","",IF($D56&lt;&gt;"",$D56,N($L55)))</f>
        <v/>
      </c>
      <c r="G56" s="17" t="str">
        <f>IF($B56="","",SUMPRODUCT(--('Transactions'!$B$2:$B$5000=$B56),--('Transactions'!$C$2:$C$5000="Revenu"),'Transactions'!$E$2:$E$5000))</f>
        <v/>
      </c>
      <c r="H56" s="17" t="str">
        <f>IF($B56="","",SUMPRODUCT(--('Transactions'!$B$2:$B$5000=$B56),--('Transactions'!$C$2:$C$5000&lt;&gt;"Revenu"),--('Transactions'!$F$2:$F$5000&lt;&gt;'Réglages'!$B$3),'Transactions'!$E$2:$E$5000))</f>
        <v/>
      </c>
      <c r="I56" s="17" t="str">
        <f>IF($B56="","",SUMPRODUCT(--('Transactions'!$B$2:$B$5000=$B56),--('Transactions'!$F$2:$F$5000='Réglages'!$B$3),'Transactions'!$E$2:$E$5000))</f>
        <v/>
      </c>
      <c r="J56" s="23" t="str">
        <f>IF($B56="","",IF($G56&gt;0,$I56/$G56,0))</f>
        <v/>
      </c>
      <c r="K56" s="17" t="str">
        <f>IF($B56="","",$G56-$H56-$I56)</f>
        <v/>
      </c>
      <c r="L56" s="17" t="str">
        <f>IF($B56="","",$F56+$K56)</f>
        <v/>
      </c>
    </row>
    <row r="57" ht="20" customHeight="1" spans="1:12" x14ac:dyDescent="0.25">
      <c r="A57" s="10"/>
      <c r="B57" s="22"/>
      <c r="C57" s="10"/>
      <c r="D57" s="16"/>
      <c r="E57" s="16"/>
      <c r="F57" s="17" t="str">
        <f>IF($B57="","",IF($D57&lt;&gt;"",$D57,N($L56)))</f>
        <v/>
      </c>
      <c r="G57" s="17" t="str">
        <f>IF($B57="","",SUMPRODUCT(--('Transactions'!$B$2:$B$5000=$B57),--('Transactions'!$C$2:$C$5000="Revenu"),'Transactions'!$E$2:$E$5000))</f>
        <v/>
      </c>
      <c r="H57" s="17" t="str">
        <f>IF($B57="","",SUMPRODUCT(--('Transactions'!$B$2:$B$5000=$B57),--('Transactions'!$C$2:$C$5000&lt;&gt;"Revenu"),--('Transactions'!$F$2:$F$5000&lt;&gt;'Réglages'!$B$3),'Transactions'!$E$2:$E$5000))</f>
        <v/>
      </c>
      <c r="I57" s="17" t="str">
        <f>IF($B57="","",SUMPRODUCT(--('Transactions'!$B$2:$B$5000=$B57),--('Transactions'!$F$2:$F$5000='Réglages'!$B$3),'Transactions'!$E$2:$E$5000))</f>
        <v/>
      </c>
      <c r="J57" s="23" t="str">
        <f>IF($B57="","",IF($G57&gt;0,$I57/$G57,0))</f>
        <v/>
      </c>
      <c r="K57" s="17" t="str">
        <f>IF($B57="","",$G57-$H57-$I57)</f>
        <v/>
      </c>
      <c r="L57" s="17" t="str">
        <f>IF($B57="","",$F57+$K57)</f>
        <v/>
      </c>
    </row>
    <row r="58" ht="20" customHeight="1" spans="1:12" x14ac:dyDescent="0.25">
      <c r="A58" s="10"/>
      <c r="B58" s="22"/>
      <c r="C58" s="10"/>
      <c r="D58" s="16"/>
      <c r="E58" s="16"/>
      <c r="F58" s="17" t="str">
        <f>IF($B58="","",IF($D58&lt;&gt;"",$D58,N($L57)))</f>
        <v/>
      </c>
      <c r="G58" s="17" t="str">
        <f>IF($B58="","",SUMPRODUCT(--('Transactions'!$B$2:$B$5000=$B58),--('Transactions'!$C$2:$C$5000="Revenu"),'Transactions'!$E$2:$E$5000))</f>
        <v/>
      </c>
      <c r="H58" s="17" t="str">
        <f>IF($B58="","",SUMPRODUCT(--('Transactions'!$B$2:$B$5000=$B58),--('Transactions'!$C$2:$C$5000&lt;&gt;"Revenu"),--('Transactions'!$F$2:$F$5000&lt;&gt;'Réglages'!$B$3),'Transactions'!$E$2:$E$5000))</f>
        <v/>
      </c>
      <c r="I58" s="17" t="str">
        <f>IF($B58="","",SUMPRODUCT(--('Transactions'!$B$2:$B$5000=$B58),--('Transactions'!$F$2:$F$5000='Réglages'!$B$3),'Transactions'!$E$2:$E$5000))</f>
        <v/>
      </c>
      <c r="J58" s="23" t="str">
        <f>IF($B58="","",IF($G58&gt;0,$I58/$G58,0))</f>
        <v/>
      </c>
      <c r="K58" s="17" t="str">
        <f>IF($B58="","",$G58-$H58-$I58)</f>
        <v/>
      </c>
      <c r="L58" s="17" t="str">
        <f>IF($B58="","",$F58+$K58)</f>
        <v/>
      </c>
    </row>
    <row r="59" ht="20" customHeight="1" spans="1:12" x14ac:dyDescent="0.25">
      <c r="A59" s="10"/>
      <c r="B59" s="22"/>
      <c r="C59" s="10"/>
      <c r="D59" s="16"/>
      <c r="E59" s="16"/>
      <c r="F59" s="17" t="str">
        <f>IF($B59="","",IF($D59&lt;&gt;"",$D59,N($L58)))</f>
        <v/>
      </c>
      <c r="G59" s="17" t="str">
        <f>IF($B59="","",SUMPRODUCT(--('Transactions'!$B$2:$B$5000=$B59),--('Transactions'!$C$2:$C$5000="Revenu"),'Transactions'!$E$2:$E$5000))</f>
        <v/>
      </c>
      <c r="H59" s="17" t="str">
        <f>IF($B59="","",SUMPRODUCT(--('Transactions'!$B$2:$B$5000=$B59),--('Transactions'!$C$2:$C$5000&lt;&gt;"Revenu"),--('Transactions'!$F$2:$F$5000&lt;&gt;'Réglages'!$B$3),'Transactions'!$E$2:$E$5000))</f>
        <v/>
      </c>
      <c r="I59" s="17" t="str">
        <f>IF($B59="","",SUMPRODUCT(--('Transactions'!$B$2:$B$5000=$B59),--('Transactions'!$F$2:$F$5000='Réglages'!$B$3),'Transactions'!$E$2:$E$5000))</f>
        <v/>
      </c>
      <c r="J59" s="23" t="str">
        <f>IF($B59="","",IF($G59&gt;0,$I59/$G59,0))</f>
        <v/>
      </c>
      <c r="K59" s="17" t="str">
        <f>IF($B59="","",$G59-$H59-$I59)</f>
        <v/>
      </c>
      <c r="L59" s="17" t="str">
        <f>IF($B59="","",$F59+$K59)</f>
        <v/>
      </c>
    </row>
    <row r="60" ht="20" customHeight="1" spans="1:12" x14ac:dyDescent="0.25">
      <c r="A60" s="10"/>
      <c r="B60" s="22"/>
      <c r="C60" s="10"/>
      <c r="D60" s="16"/>
      <c r="E60" s="16"/>
      <c r="F60" s="17" t="str">
        <f>IF($B60="","",IF($D60&lt;&gt;"",$D60,N($L59)))</f>
        <v/>
      </c>
      <c r="G60" s="17" t="str">
        <f>IF($B60="","",SUMPRODUCT(--('Transactions'!$B$2:$B$5000=$B60),--('Transactions'!$C$2:$C$5000="Revenu"),'Transactions'!$E$2:$E$5000))</f>
        <v/>
      </c>
      <c r="H60" s="17" t="str">
        <f>IF($B60="","",SUMPRODUCT(--('Transactions'!$B$2:$B$5000=$B60),--('Transactions'!$C$2:$C$5000&lt;&gt;"Revenu"),--('Transactions'!$F$2:$F$5000&lt;&gt;'Réglages'!$B$3),'Transactions'!$E$2:$E$5000))</f>
        <v/>
      </c>
      <c r="I60" s="17" t="str">
        <f>IF($B60="","",SUMPRODUCT(--('Transactions'!$B$2:$B$5000=$B60),--('Transactions'!$F$2:$F$5000='Réglages'!$B$3),'Transactions'!$E$2:$E$5000))</f>
        <v/>
      </c>
      <c r="J60" s="23" t="str">
        <f>IF($B60="","",IF($G60&gt;0,$I60/$G60,0))</f>
        <v/>
      </c>
      <c r="K60" s="17" t="str">
        <f>IF($B60="","",$G60-$H60-$I60)</f>
        <v/>
      </c>
      <c r="L60" s="17" t="str">
        <f>IF($B60="","",$F60+$K60)</f>
        <v/>
      </c>
    </row>
    <row r="61" ht="20" customHeight="1" spans="1:12" x14ac:dyDescent="0.25">
      <c r="A61" s="10"/>
      <c r="B61" s="22"/>
      <c r="C61" s="10"/>
      <c r="D61" s="16"/>
      <c r="E61" s="16"/>
      <c r="F61" s="17" t="str">
        <f>IF($B61="","",IF($D61&lt;&gt;"",$D61,N($L60)))</f>
        <v/>
      </c>
      <c r="G61" s="17" t="str">
        <f>IF($B61="","",SUMPRODUCT(--('Transactions'!$B$2:$B$5000=$B61),--('Transactions'!$C$2:$C$5000="Revenu"),'Transactions'!$E$2:$E$5000))</f>
        <v/>
      </c>
      <c r="H61" s="17" t="str">
        <f>IF($B61="","",SUMPRODUCT(--('Transactions'!$B$2:$B$5000=$B61),--('Transactions'!$C$2:$C$5000&lt;&gt;"Revenu"),--('Transactions'!$F$2:$F$5000&lt;&gt;'Réglages'!$B$3),'Transactions'!$E$2:$E$5000))</f>
        <v/>
      </c>
      <c r="I61" s="17" t="str">
        <f>IF($B61="","",SUMPRODUCT(--('Transactions'!$B$2:$B$5000=$B61),--('Transactions'!$F$2:$F$5000='Réglages'!$B$3),'Transactions'!$E$2:$E$5000))</f>
        <v/>
      </c>
      <c r="J61" s="23" t="str">
        <f>IF($B61="","",IF($G61&gt;0,$I61/$G61,0))</f>
        <v/>
      </c>
      <c r="K61" s="17" t="str">
        <f>IF($B61="","",$G61-$H61-$I61)</f>
        <v/>
      </c>
      <c r="L61" s="17" t="str">
        <f>IF($B61="","",$F61+$K61)</f>
        <v/>
      </c>
    </row>
  </sheetData>
  <dataValidations count="2">
    <dataValidation type="list" allowBlank="1" showErrorMessage="1" errorStyle="stop" errorTitle="Statut" error="Choisis une valeur dans la liste." sqref="C2:C61">
      <formula1>"Courant,Clôturé"</formula1>
    </dataValidation>
    <dataValidation type="decimal" allowBlank="1" showErrorMessage="1" errorTitle="Montant" error="Saisis un montant (ou laisse vide)." sqref="D2:E61">
      <formula1>-1000000000</formula1>
      <formula2>1000000000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B63"/>
  </sheetPr>
  <dimension ref="A1:J30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hidden="1" customWidth="1"/>
    <col min="2" max="2" width="16" style="18" customWidth="1"/>
    <col min="3" max="3" width="18" customWidth="1"/>
    <col min="4" max="4" width="32" customWidth="1"/>
    <col min="5" max="5" width="14" style="13" customWidth="1"/>
    <col min="6" max="6" width="22" customWidth="1"/>
    <col min="7" max="7" width="13" style="24" customWidth="1"/>
    <col min="8" max="8" width="34" customWidth="1"/>
    <col min="9" max="9" width="13" customWidth="1"/>
    <col min="10" max="10" width="11" customWidth="1"/>
  </cols>
  <sheetData>
    <row r="1" ht="30" customHeight="1" spans="1:10" x14ac:dyDescent="0.25">
      <c r="A1" s="8" t="s">
        <v>36</v>
      </c>
      <c r="B1" s="20" t="s">
        <v>54</v>
      </c>
      <c r="C1" s="8" t="s">
        <v>71</v>
      </c>
      <c r="D1" s="8" t="s">
        <v>31</v>
      </c>
      <c r="E1" s="14" t="s">
        <v>72</v>
      </c>
      <c r="F1" s="8" t="s">
        <v>38</v>
      </c>
      <c r="G1" s="25" t="s">
        <v>73</v>
      </c>
      <c r="H1" s="8" t="s">
        <v>74</v>
      </c>
      <c r="I1" s="8" t="s">
        <v>75</v>
      </c>
      <c r="J1" s="8" t="s">
        <v>76</v>
      </c>
    </row>
    <row r="2" ht="20" customHeight="1" spans="1:10" x14ac:dyDescent="0.25">
      <c r="A2" s="10" t="s">
        <v>77</v>
      </c>
      <c r="B2" s="22" t="s">
        <v>66</v>
      </c>
      <c r="C2" s="10" t="s">
        <v>78</v>
      </c>
      <c r="D2" s="10" t="s">
        <v>79</v>
      </c>
      <c r="E2" s="16">
        <v>2000</v>
      </c>
      <c r="F2" s="10" t="s">
        <v>2</v>
      </c>
      <c r="G2" s="26">
        <v>46235</v>
      </c>
      <c r="H2" s="10" t="s">
        <v>2</v>
      </c>
      <c r="I2" s="10"/>
      <c r="J2" s="10" t="s">
        <v>46</v>
      </c>
    </row>
    <row r="3" ht="20" customHeight="1" spans="1:10" x14ac:dyDescent="0.25">
      <c r="A3" s="10" t="s">
        <v>80</v>
      </c>
      <c r="B3" s="22" t="s">
        <v>66</v>
      </c>
      <c r="C3" s="10" t="s">
        <v>81</v>
      </c>
      <c r="D3" s="10" t="s">
        <v>44</v>
      </c>
      <c r="E3" s="16">
        <v>520</v>
      </c>
      <c r="F3" s="10" t="s">
        <v>32</v>
      </c>
      <c r="G3" s="26">
        <v>46237</v>
      </c>
      <c r="H3" s="10" t="s">
        <v>2</v>
      </c>
      <c r="I3" s="10" t="s">
        <v>46</v>
      </c>
      <c r="J3" s="10"/>
    </row>
    <row r="4" ht="20" customHeight="1" spans="1:10" x14ac:dyDescent="0.25">
      <c r="A4" s="10" t="s">
        <v>82</v>
      </c>
      <c r="B4" s="22" t="s">
        <v>66</v>
      </c>
      <c r="C4" s="10" t="s">
        <v>81</v>
      </c>
      <c r="D4" s="10" t="s">
        <v>83</v>
      </c>
      <c r="E4" s="16">
        <v>200</v>
      </c>
      <c r="F4" s="10" t="s">
        <v>29</v>
      </c>
      <c r="G4" s="26">
        <v>46244</v>
      </c>
      <c r="H4" s="10" t="s">
        <v>2</v>
      </c>
      <c r="I4" s="10" t="s">
        <v>46</v>
      </c>
      <c r="J4" s="10"/>
    </row>
    <row r="5" ht="20" customHeight="1" spans="1:10" x14ac:dyDescent="0.25">
      <c r="A5" s="10" t="s">
        <v>84</v>
      </c>
      <c r="B5" s="22" t="s">
        <v>66</v>
      </c>
      <c r="C5" s="10" t="s">
        <v>85</v>
      </c>
      <c r="D5" s="10" t="s">
        <v>34</v>
      </c>
      <c r="E5" s="16">
        <v>150.5</v>
      </c>
      <c r="F5" s="10" t="s">
        <v>34</v>
      </c>
      <c r="G5" s="26">
        <v>46246</v>
      </c>
      <c r="H5" s="10" t="s">
        <v>86</v>
      </c>
      <c r="I5" s="10" t="s">
        <v>53</v>
      </c>
      <c r="J5" s="10"/>
    </row>
    <row r="6" ht="20" customHeight="1" spans="1:10" x14ac:dyDescent="0.25">
      <c r="A6" s="10" t="s">
        <v>87</v>
      </c>
      <c r="B6" s="22" t="s">
        <v>69</v>
      </c>
      <c r="C6" s="10" t="s">
        <v>85</v>
      </c>
      <c r="D6" s="10" t="s">
        <v>35</v>
      </c>
      <c r="E6" s="16">
        <v>38.2</v>
      </c>
      <c r="F6" s="10" t="s">
        <v>35</v>
      </c>
      <c r="G6" s="26"/>
      <c r="H6" s="10" t="s">
        <v>2</v>
      </c>
      <c r="I6" s="10" t="s">
        <v>46</v>
      </c>
      <c r="J6" s="10"/>
    </row>
    <row r="7" ht="20" customHeight="1" spans="1:10" x14ac:dyDescent="0.25">
      <c r="A7" s="10" t="s">
        <v>88</v>
      </c>
      <c r="B7" s="22" t="s">
        <v>69</v>
      </c>
      <c r="C7" s="10" t="s">
        <v>78</v>
      </c>
      <c r="D7" s="10" t="s">
        <v>89</v>
      </c>
      <c r="E7" s="16">
        <v>2000</v>
      </c>
      <c r="F7" s="10" t="s">
        <v>2</v>
      </c>
      <c r="G7" s="26">
        <v>46266</v>
      </c>
      <c r="H7" s="10" t="s">
        <v>2</v>
      </c>
      <c r="I7" s="10"/>
      <c r="J7" s="10" t="s">
        <v>53</v>
      </c>
    </row>
    <row r="8" ht="20" customHeight="1" spans="1:10" x14ac:dyDescent="0.25">
      <c r="A8" s="10" t="s">
        <v>90</v>
      </c>
      <c r="B8" s="22" t="s">
        <v>69</v>
      </c>
      <c r="C8" s="10" t="s">
        <v>81</v>
      </c>
      <c r="D8" s="10" t="s">
        <v>44</v>
      </c>
      <c r="E8" s="16">
        <v>520</v>
      </c>
      <c r="F8" s="10" t="s">
        <v>32</v>
      </c>
      <c r="G8" s="26">
        <v>46268</v>
      </c>
      <c r="H8" s="10" t="s">
        <v>2</v>
      </c>
      <c r="I8" s="10" t="s">
        <v>46</v>
      </c>
      <c r="J8" s="10"/>
    </row>
    <row r="9" ht="20" customHeight="1" spans="1:10" x14ac:dyDescent="0.25">
      <c r="A9" s="10" t="s">
        <v>91</v>
      </c>
      <c r="B9" s="22" t="s">
        <v>69</v>
      </c>
      <c r="C9" s="10" t="s">
        <v>81</v>
      </c>
      <c r="D9" s="10" t="s">
        <v>83</v>
      </c>
      <c r="E9" s="16">
        <v>200</v>
      </c>
      <c r="F9" s="10" t="s">
        <v>29</v>
      </c>
      <c r="G9" s="26">
        <v>46275</v>
      </c>
      <c r="H9" s="10" t="s">
        <v>2</v>
      </c>
      <c r="I9" s="10" t="s">
        <v>46</v>
      </c>
      <c r="J9" s="10"/>
    </row>
    <row r="10" ht="20" customHeight="1" spans="1:10" x14ac:dyDescent="0.25">
      <c r="A10" s="10"/>
      <c r="B10" s="22"/>
      <c r="C10" s="10"/>
      <c r="D10" s="10"/>
      <c r="E10" s="16"/>
      <c r="F10" s="10"/>
      <c r="G10" s="26"/>
      <c r="H10" s="10"/>
      <c r="I10" s="10"/>
      <c r="J10" s="10"/>
    </row>
    <row r="11" ht="20" customHeight="1" spans="1:10" x14ac:dyDescent="0.25">
      <c r="A11" s="10"/>
      <c r="B11" s="22"/>
      <c r="C11" s="10"/>
      <c r="D11" s="10"/>
      <c r="E11" s="16"/>
      <c r="F11" s="10"/>
      <c r="G11" s="26"/>
      <c r="H11" s="10"/>
      <c r="I11" s="10"/>
      <c r="J11" s="10"/>
    </row>
    <row r="12" ht="20" customHeight="1" spans="1:10" x14ac:dyDescent="0.25">
      <c r="A12" s="10"/>
      <c r="B12" s="22"/>
      <c r="C12" s="10"/>
      <c r="D12" s="10"/>
      <c r="E12" s="16"/>
      <c r="F12" s="10"/>
      <c r="G12" s="26"/>
      <c r="H12" s="10"/>
      <c r="I12" s="10"/>
      <c r="J12" s="10"/>
    </row>
    <row r="13" ht="20" customHeight="1" spans="1:10" x14ac:dyDescent="0.25">
      <c r="A13" s="10"/>
      <c r="B13" s="22"/>
      <c r="C13" s="10"/>
      <c r="D13" s="10"/>
      <c r="E13" s="16"/>
      <c r="F13" s="10"/>
      <c r="G13" s="26"/>
      <c r="H13" s="10"/>
      <c r="I13" s="10"/>
      <c r="J13" s="10"/>
    </row>
    <row r="14" ht="20" customHeight="1" spans="1:10" x14ac:dyDescent="0.25">
      <c r="A14" s="10"/>
      <c r="B14" s="22"/>
      <c r="C14" s="10"/>
      <c r="D14" s="10"/>
      <c r="E14" s="16"/>
      <c r="F14" s="10"/>
      <c r="G14" s="26"/>
      <c r="H14" s="10"/>
      <c r="I14" s="10"/>
      <c r="J14" s="10"/>
    </row>
    <row r="15" ht="20" customHeight="1" spans="1:10" x14ac:dyDescent="0.25">
      <c r="A15" s="10"/>
      <c r="B15" s="22"/>
      <c r="C15" s="10"/>
      <c r="D15" s="10"/>
      <c r="E15" s="16"/>
      <c r="F15" s="10"/>
      <c r="G15" s="26"/>
      <c r="H15" s="10"/>
      <c r="I15" s="10"/>
      <c r="J15" s="10"/>
    </row>
    <row r="16" ht="20" customHeight="1" spans="1:10" x14ac:dyDescent="0.25">
      <c r="A16" s="10"/>
      <c r="B16" s="22"/>
      <c r="C16" s="10"/>
      <c r="D16" s="10"/>
      <c r="E16" s="16"/>
      <c r="F16" s="10"/>
      <c r="G16" s="26"/>
      <c r="H16" s="10"/>
      <c r="I16" s="10"/>
      <c r="J16" s="10"/>
    </row>
    <row r="17" ht="20" customHeight="1" spans="1:10" x14ac:dyDescent="0.25">
      <c r="A17" s="10"/>
      <c r="B17" s="22"/>
      <c r="C17" s="10"/>
      <c r="D17" s="10"/>
      <c r="E17" s="16"/>
      <c r="F17" s="10"/>
      <c r="G17" s="26"/>
      <c r="H17" s="10"/>
      <c r="I17" s="10"/>
      <c r="J17" s="10"/>
    </row>
    <row r="18" ht="20" customHeight="1" spans="1:10" x14ac:dyDescent="0.25">
      <c r="A18" s="10"/>
      <c r="B18" s="22"/>
      <c r="C18" s="10"/>
      <c r="D18" s="10"/>
      <c r="E18" s="16"/>
      <c r="F18" s="10"/>
      <c r="G18" s="26"/>
      <c r="H18" s="10"/>
      <c r="I18" s="10"/>
      <c r="J18" s="10"/>
    </row>
    <row r="19" ht="20" customHeight="1" spans="1:10" x14ac:dyDescent="0.25">
      <c r="A19" s="10"/>
      <c r="B19" s="22"/>
      <c r="C19" s="10"/>
      <c r="D19" s="10"/>
      <c r="E19" s="16"/>
      <c r="F19" s="10"/>
      <c r="G19" s="26"/>
      <c r="H19" s="10"/>
      <c r="I19" s="10"/>
      <c r="J19" s="10"/>
    </row>
    <row r="20" ht="20" customHeight="1" spans="1:10" x14ac:dyDescent="0.25">
      <c r="A20" s="10"/>
      <c r="B20" s="22"/>
      <c r="C20" s="10"/>
      <c r="D20" s="10"/>
      <c r="E20" s="16"/>
      <c r="F20" s="10"/>
      <c r="G20" s="26"/>
      <c r="H20" s="10"/>
      <c r="I20" s="10"/>
      <c r="J20" s="10"/>
    </row>
    <row r="21" ht="20" customHeight="1" spans="1:10" x14ac:dyDescent="0.25">
      <c r="A21" s="10"/>
      <c r="B21" s="22"/>
      <c r="C21" s="10"/>
      <c r="D21" s="10"/>
      <c r="E21" s="16"/>
      <c r="F21" s="10"/>
      <c r="G21" s="26"/>
      <c r="H21" s="10"/>
      <c r="I21" s="10"/>
      <c r="J21" s="10"/>
    </row>
    <row r="22" ht="20" customHeight="1" spans="1:10" x14ac:dyDescent="0.25">
      <c r="A22" s="10"/>
      <c r="B22" s="22"/>
      <c r="C22" s="10"/>
      <c r="D22" s="10"/>
      <c r="E22" s="16"/>
      <c r="F22" s="10"/>
      <c r="G22" s="26"/>
      <c r="H22" s="10"/>
      <c r="I22" s="10"/>
      <c r="J22" s="10"/>
    </row>
    <row r="23" ht="20" customHeight="1" spans="1:10" x14ac:dyDescent="0.25">
      <c r="A23" s="10"/>
      <c r="B23" s="22"/>
      <c r="C23" s="10"/>
      <c r="D23" s="10"/>
      <c r="E23" s="16"/>
      <c r="F23" s="10"/>
      <c r="G23" s="26"/>
      <c r="H23" s="10"/>
      <c r="I23" s="10"/>
      <c r="J23" s="10"/>
    </row>
    <row r="24" ht="20" customHeight="1" spans="1:10" x14ac:dyDescent="0.25">
      <c r="A24" s="10"/>
      <c r="B24" s="22"/>
      <c r="C24" s="10"/>
      <c r="D24" s="10"/>
      <c r="E24" s="16"/>
      <c r="F24" s="10"/>
      <c r="G24" s="26"/>
      <c r="H24" s="10"/>
      <c r="I24" s="10"/>
      <c r="J24" s="10"/>
    </row>
    <row r="25" ht="20" customHeight="1" spans="1:10" x14ac:dyDescent="0.25">
      <c r="A25" s="10"/>
      <c r="B25" s="22"/>
      <c r="C25" s="10"/>
      <c r="D25" s="10"/>
      <c r="E25" s="16"/>
      <c r="F25" s="10"/>
      <c r="G25" s="26"/>
      <c r="H25" s="10"/>
      <c r="I25" s="10"/>
      <c r="J25" s="10"/>
    </row>
    <row r="26" ht="20" customHeight="1" spans="1:10" x14ac:dyDescent="0.25">
      <c r="A26" s="10"/>
      <c r="B26" s="22"/>
      <c r="C26" s="10"/>
      <c r="D26" s="10"/>
      <c r="E26" s="16"/>
      <c r="F26" s="10"/>
      <c r="G26" s="26"/>
      <c r="H26" s="10"/>
      <c r="I26" s="10"/>
      <c r="J26" s="10"/>
    </row>
    <row r="27" ht="20" customHeight="1" spans="1:10" x14ac:dyDescent="0.25">
      <c r="A27" s="10"/>
      <c r="B27" s="22"/>
      <c r="C27" s="10"/>
      <c r="D27" s="10"/>
      <c r="E27" s="16"/>
      <c r="F27" s="10"/>
      <c r="G27" s="26"/>
      <c r="H27" s="10"/>
      <c r="I27" s="10"/>
      <c r="J27" s="10"/>
    </row>
    <row r="28" ht="20" customHeight="1" spans="1:10" x14ac:dyDescent="0.25">
      <c r="A28" s="10"/>
      <c r="B28" s="22"/>
      <c r="C28" s="10"/>
      <c r="D28" s="10"/>
      <c r="E28" s="16"/>
      <c r="F28" s="10"/>
      <c r="G28" s="26"/>
      <c r="H28" s="10"/>
      <c r="I28" s="10"/>
      <c r="J28" s="10"/>
    </row>
    <row r="29" ht="20" customHeight="1" spans="1:10" x14ac:dyDescent="0.25">
      <c r="A29" s="10"/>
      <c r="B29" s="22"/>
      <c r="C29" s="10"/>
      <c r="D29" s="10"/>
      <c r="E29" s="16"/>
      <c r="F29" s="10"/>
      <c r="G29" s="26"/>
      <c r="H29" s="10"/>
      <c r="I29" s="10"/>
      <c r="J29" s="10"/>
    </row>
    <row r="30" ht="20" customHeight="1" spans="1:10" x14ac:dyDescent="0.25">
      <c r="A30" s="10"/>
      <c r="B30" s="22"/>
      <c r="C30" s="10"/>
      <c r="D30" s="10"/>
      <c r="E30" s="16"/>
      <c r="F30" s="10"/>
      <c r="G30" s="26"/>
      <c r="H30" s="10"/>
      <c r="I30" s="10"/>
      <c r="J30" s="10"/>
    </row>
    <row r="31" ht="20" customHeight="1" spans="1:10" x14ac:dyDescent="0.25">
      <c r="A31" s="10"/>
      <c r="B31" s="22"/>
      <c r="C31" s="10"/>
      <c r="D31" s="10"/>
      <c r="E31" s="16"/>
      <c r="F31" s="10"/>
      <c r="G31" s="26"/>
      <c r="H31" s="10"/>
      <c r="I31" s="10"/>
      <c r="J31" s="10"/>
    </row>
    <row r="32" ht="20" customHeight="1" spans="1:10" x14ac:dyDescent="0.25">
      <c r="A32" s="10"/>
      <c r="B32" s="22"/>
      <c r="C32" s="10"/>
      <c r="D32" s="10"/>
      <c r="E32" s="16"/>
      <c r="F32" s="10"/>
      <c r="G32" s="26"/>
      <c r="H32" s="10"/>
      <c r="I32" s="10"/>
      <c r="J32" s="10"/>
    </row>
    <row r="33" ht="20" customHeight="1" spans="1:10" x14ac:dyDescent="0.25">
      <c r="A33" s="10"/>
      <c r="B33" s="22"/>
      <c r="C33" s="10"/>
      <c r="D33" s="10"/>
      <c r="E33" s="16"/>
      <c r="F33" s="10"/>
      <c r="G33" s="26"/>
      <c r="H33" s="10"/>
      <c r="I33" s="10"/>
      <c r="J33" s="10"/>
    </row>
    <row r="34" ht="20" customHeight="1" spans="1:10" x14ac:dyDescent="0.25">
      <c r="A34" s="10"/>
      <c r="B34" s="22"/>
      <c r="C34" s="10"/>
      <c r="D34" s="10"/>
      <c r="E34" s="16"/>
      <c r="F34" s="10"/>
      <c r="G34" s="26"/>
      <c r="H34" s="10"/>
      <c r="I34" s="10"/>
      <c r="J34" s="10"/>
    </row>
    <row r="35" ht="20" customHeight="1" spans="1:10" x14ac:dyDescent="0.25">
      <c r="A35" s="10"/>
      <c r="B35" s="22"/>
      <c r="C35" s="10"/>
      <c r="D35" s="10"/>
      <c r="E35" s="16"/>
      <c r="F35" s="10"/>
      <c r="G35" s="26"/>
      <c r="H35" s="10"/>
      <c r="I35" s="10"/>
      <c r="J35" s="10"/>
    </row>
    <row r="36" ht="20" customHeight="1" spans="1:10" x14ac:dyDescent="0.25">
      <c r="A36" s="10"/>
      <c r="B36" s="22"/>
      <c r="C36" s="10"/>
      <c r="D36" s="10"/>
      <c r="E36" s="16"/>
      <c r="F36" s="10"/>
      <c r="G36" s="26"/>
      <c r="H36" s="10"/>
      <c r="I36" s="10"/>
      <c r="J36" s="10"/>
    </row>
    <row r="37" ht="20" customHeight="1" spans="1:10" x14ac:dyDescent="0.25">
      <c r="A37" s="10"/>
      <c r="B37" s="22"/>
      <c r="C37" s="10"/>
      <c r="D37" s="10"/>
      <c r="E37" s="16"/>
      <c r="F37" s="10"/>
      <c r="G37" s="26"/>
      <c r="H37" s="10"/>
      <c r="I37" s="10"/>
      <c r="J37" s="10"/>
    </row>
    <row r="38" ht="20" customHeight="1" spans="1:10" x14ac:dyDescent="0.25">
      <c r="A38" s="10"/>
      <c r="B38" s="22"/>
      <c r="C38" s="10"/>
      <c r="D38" s="10"/>
      <c r="E38" s="16"/>
      <c r="F38" s="10"/>
      <c r="G38" s="26"/>
      <c r="H38" s="10"/>
      <c r="I38" s="10"/>
      <c r="J38" s="10"/>
    </row>
    <row r="39" ht="20" customHeight="1" spans="1:10" x14ac:dyDescent="0.25">
      <c r="A39" s="10"/>
      <c r="B39" s="22"/>
      <c r="C39" s="10"/>
      <c r="D39" s="10"/>
      <c r="E39" s="16"/>
      <c r="F39" s="10"/>
      <c r="G39" s="26"/>
      <c r="H39" s="10"/>
      <c r="I39" s="10"/>
      <c r="J39" s="10"/>
    </row>
    <row r="40" ht="20" customHeight="1" spans="1:10" x14ac:dyDescent="0.25">
      <c r="A40" s="10"/>
      <c r="B40" s="22"/>
      <c r="C40" s="10"/>
      <c r="D40" s="10"/>
      <c r="E40" s="16"/>
      <c r="F40" s="10"/>
      <c r="G40" s="26"/>
      <c r="H40" s="10"/>
      <c r="I40" s="10"/>
      <c r="J40" s="10"/>
    </row>
    <row r="41" ht="20" customHeight="1" spans="1:10" x14ac:dyDescent="0.25">
      <c r="A41" s="10"/>
      <c r="B41" s="22"/>
      <c r="C41" s="10"/>
      <c r="D41" s="10"/>
      <c r="E41" s="16"/>
      <c r="F41" s="10"/>
      <c r="G41" s="26"/>
      <c r="H41" s="10"/>
      <c r="I41" s="10"/>
      <c r="J41" s="10"/>
    </row>
    <row r="42" ht="20" customHeight="1" spans="1:10" x14ac:dyDescent="0.25">
      <c r="A42" s="10"/>
      <c r="B42" s="22"/>
      <c r="C42" s="10"/>
      <c r="D42" s="10"/>
      <c r="E42" s="16"/>
      <c r="F42" s="10"/>
      <c r="G42" s="26"/>
      <c r="H42" s="10"/>
      <c r="I42" s="10"/>
      <c r="J42" s="10"/>
    </row>
    <row r="43" ht="20" customHeight="1" spans="1:10" x14ac:dyDescent="0.25">
      <c r="A43" s="10"/>
      <c r="B43" s="22"/>
      <c r="C43" s="10"/>
      <c r="D43" s="10"/>
      <c r="E43" s="16"/>
      <c r="F43" s="10"/>
      <c r="G43" s="26"/>
      <c r="H43" s="10"/>
      <c r="I43" s="10"/>
      <c r="J43" s="10"/>
    </row>
    <row r="44" ht="20" customHeight="1" spans="1:10" x14ac:dyDescent="0.25">
      <c r="A44" s="10"/>
      <c r="B44" s="22"/>
      <c r="C44" s="10"/>
      <c r="D44" s="10"/>
      <c r="E44" s="16"/>
      <c r="F44" s="10"/>
      <c r="G44" s="26"/>
      <c r="H44" s="10"/>
      <c r="I44" s="10"/>
      <c r="J44" s="10"/>
    </row>
    <row r="45" ht="20" customHeight="1" spans="1:10" x14ac:dyDescent="0.25">
      <c r="A45" s="10"/>
      <c r="B45" s="22"/>
      <c r="C45" s="10"/>
      <c r="D45" s="10"/>
      <c r="E45" s="16"/>
      <c r="F45" s="10"/>
      <c r="G45" s="26"/>
      <c r="H45" s="10"/>
      <c r="I45" s="10"/>
      <c r="J45" s="10"/>
    </row>
    <row r="46" ht="20" customHeight="1" spans="1:10" x14ac:dyDescent="0.25">
      <c r="A46" s="10"/>
      <c r="B46" s="22"/>
      <c r="C46" s="10"/>
      <c r="D46" s="10"/>
      <c r="E46" s="16"/>
      <c r="F46" s="10"/>
      <c r="G46" s="26"/>
      <c r="H46" s="10"/>
      <c r="I46" s="10"/>
      <c r="J46" s="10"/>
    </row>
    <row r="47" ht="20" customHeight="1" spans="1:10" x14ac:dyDescent="0.25">
      <c r="A47" s="10"/>
      <c r="B47" s="22"/>
      <c r="C47" s="10"/>
      <c r="D47" s="10"/>
      <c r="E47" s="16"/>
      <c r="F47" s="10"/>
      <c r="G47" s="26"/>
      <c r="H47" s="10"/>
      <c r="I47" s="10"/>
      <c r="J47" s="10"/>
    </row>
    <row r="48" ht="20" customHeight="1" spans="1:10" x14ac:dyDescent="0.25">
      <c r="A48" s="10"/>
      <c r="B48" s="22"/>
      <c r="C48" s="10"/>
      <c r="D48" s="10"/>
      <c r="E48" s="16"/>
      <c r="F48" s="10"/>
      <c r="G48" s="26"/>
      <c r="H48" s="10"/>
      <c r="I48" s="10"/>
      <c r="J48" s="10"/>
    </row>
    <row r="49" ht="20" customHeight="1" spans="1:10" x14ac:dyDescent="0.25">
      <c r="A49" s="10"/>
      <c r="B49" s="22"/>
      <c r="C49" s="10"/>
      <c r="D49" s="10"/>
      <c r="E49" s="16"/>
      <c r="F49" s="10"/>
      <c r="G49" s="26"/>
      <c r="H49" s="10"/>
      <c r="I49" s="10"/>
      <c r="J49" s="10"/>
    </row>
    <row r="50" ht="20" customHeight="1" spans="1:10" x14ac:dyDescent="0.25">
      <c r="A50" s="10"/>
      <c r="B50" s="22"/>
      <c r="C50" s="10"/>
      <c r="D50" s="10"/>
      <c r="E50" s="16"/>
      <c r="F50" s="10"/>
      <c r="G50" s="26"/>
      <c r="H50" s="10"/>
      <c r="I50" s="10"/>
      <c r="J50" s="10"/>
    </row>
    <row r="51" ht="20" customHeight="1" spans="1:10" x14ac:dyDescent="0.25">
      <c r="A51" s="10"/>
      <c r="B51" s="22"/>
      <c r="C51" s="10"/>
      <c r="D51" s="10"/>
      <c r="E51" s="16"/>
      <c r="F51" s="10"/>
      <c r="G51" s="26"/>
      <c r="H51" s="10"/>
      <c r="I51" s="10"/>
      <c r="J51" s="10"/>
    </row>
    <row r="52" ht="20" customHeight="1" spans="1:10" x14ac:dyDescent="0.25">
      <c r="A52" s="10"/>
      <c r="B52" s="22"/>
      <c r="C52" s="10"/>
      <c r="D52" s="10"/>
      <c r="E52" s="16"/>
      <c r="F52" s="10"/>
      <c r="G52" s="26"/>
      <c r="H52" s="10"/>
      <c r="I52" s="10"/>
      <c r="J52" s="10"/>
    </row>
    <row r="53" ht="20" customHeight="1" spans="1:10" x14ac:dyDescent="0.25">
      <c r="A53" s="10"/>
      <c r="B53" s="22"/>
      <c r="C53" s="10"/>
      <c r="D53" s="10"/>
      <c r="E53" s="16"/>
      <c r="F53" s="10"/>
      <c r="G53" s="26"/>
      <c r="H53" s="10"/>
      <c r="I53" s="10"/>
      <c r="J53" s="10"/>
    </row>
    <row r="54" ht="20" customHeight="1" spans="1:10" x14ac:dyDescent="0.25">
      <c r="A54" s="10"/>
      <c r="B54" s="22"/>
      <c r="C54" s="10"/>
      <c r="D54" s="10"/>
      <c r="E54" s="16"/>
      <c r="F54" s="10"/>
      <c r="G54" s="26"/>
      <c r="H54" s="10"/>
      <c r="I54" s="10"/>
      <c r="J54" s="10"/>
    </row>
    <row r="55" ht="20" customHeight="1" spans="1:10" x14ac:dyDescent="0.25">
      <c r="A55" s="10"/>
      <c r="B55" s="22"/>
      <c r="C55" s="10"/>
      <c r="D55" s="10"/>
      <c r="E55" s="16"/>
      <c r="F55" s="10"/>
      <c r="G55" s="26"/>
      <c r="H55" s="10"/>
      <c r="I55" s="10"/>
      <c r="J55" s="10"/>
    </row>
    <row r="56" ht="20" customHeight="1" spans="1:10" x14ac:dyDescent="0.25">
      <c r="A56" s="10"/>
      <c r="B56" s="22"/>
      <c r="C56" s="10"/>
      <c r="D56" s="10"/>
      <c r="E56" s="16"/>
      <c r="F56" s="10"/>
      <c r="G56" s="26"/>
      <c r="H56" s="10"/>
      <c r="I56" s="10"/>
      <c r="J56" s="10"/>
    </row>
    <row r="57" ht="20" customHeight="1" spans="1:10" x14ac:dyDescent="0.25">
      <c r="A57" s="10"/>
      <c r="B57" s="22"/>
      <c r="C57" s="10"/>
      <c r="D57" s="10"/>
      <c r="E57" s="16"/>
      <c r="F57" s="10"/>
      <c r="G57" s="26"/>
      <c r="H57" s="10"/>
      <c r="I57" s="10"/>
      <c r="J57" s="10"/>
    </row>
    <row r="58" ht="20" customHeight="1" spans="1:10" x14ac:dyDescent="0.25">
      <c r="A58" s="10"/>
      <c r="B58" s="22"/>
      <c r="C58" s="10"/>
      <c r="D58" s="10"/>
      <c r="E58" s="16"/>
      <c r="F58" s="10"/>
      <c r="G58" s="26"/>
      <c r="H58" s="10"/>
      <c r="I58" s="10"/>
      <c r="J58" s="10"/>
    </row>
    <row r="59" ht="20" customHeight="1" spans="1:10" x14ac:dyDescent="0.25">
      <c r="A59" s="10"/>
      <c r="B59" s="22"/>
      <c r="C59" s="10"/>
      <c r="D59" s="10"/>
      <c r="E59" s="16"/>
      <c r="F59" s="10"/>
      <c r="G59" s="26"/>
      <c r="H59" s="10"/>
      <c r="I59" s="10"/>
      <c r="J59" s="10"/>
    </row>
    <row r="60" ht="20" customHeight="1" spans="1:10" x14ac:dyDescent="0.25">
      <c r="A60" s="10"/>
      <c r="B60" s="22"/>
      <c r="C60" s="10"/>
      <c r="D60" s="10"/>
      <c r="E60" s="16"/>
      <c r="F60" s="10"/>
      <c r="G60" s="26"/>
      <c r="H60" s="10"/>
      <c r="I60" s="10"/>
      <c r="J60" s="10"/>
    </row>
    <row r="61" ht="20" customHeight="1" spans="1:10" x14ac:dyDescent="0.25">
      <c r="A61" s="10"/>
      <c r="B61" s="22"/>
      <c r="C61" s="10"/>
      <c r="D61" s="10"/>
      <c r="E61" s="16"/>
      <c r="F61" s="10"/>
      <c r="G61" s="26"/>
      <c r="H61" s="10"/>
      <c r="I61" s="10"/>
      <c r="J61" s="10"/>
    </row>
    <row r="62" ht="20" customHeight="1" spans="1:10" x14ac:dyDescent="0.25">
      <c r="A62" s="10"/>
      <c r="B62" s="22"/>
      <c r="C62" s="10"/>
      <c r="D62" s="10"/>
      <c r="E62" s="16"/>
      <c r="F62" s="10"/>
      <c r="G62" s="26"/>
      <c r="H62" s="10"/>
      <c r="I62" s="10"/>
      <c r="J62" s="10"/>
    </row>
    <row r="63" ht="20" customHeight="1" spans="1:10" x14ac:dyDescent="0.25">
      <c r="A63" s="10"/>
      <c r="B63" s="22"/>
      <c r="C63" s="10"/>
      <c r="D63" s="10"/>
      <c r="E63" s="16"/>
      <c r="F63" s="10"/>
      <c r="G63" s="26"/>
      <c r="H63" s="10"/>
      <c r="I63" s="10"/>
      <c r="J63" s="10"/>
    </row>
    <row r="64" ht="20" customHeight="1" spans="1:10" x14ac:dyDescent="0.25">
      <c r="A64" s="10"/>
      <c r="B64" s="22"/>
      <c r="C64" s="10"/>
      <c r="D64" s="10"/>
      <c r="E64" s="16"/>
      <c r="F64" s="10"/>
      <c r="G64" s="26"/>
      <c r="H64" s="10"/>
      <c r="I64" s="10"/>
      <c r="J64" s="10"/>
    </row>
    <row r="65" ht="20" customHeight="1" spans="1:10" x14ac:dyDescent="0.25">
      <c r="A65" s="10"/>
      <c r="B65" s="22"/>
      <c r="C65" s="10"/>
      <c r="D65" s="10"/>
      <c r="E65" s="16"/>
      <c r="F65" s="10"/>
      <c r="G65" s="26"/>
      <c r="H65" s="10"/>
      <c r="I65" s="10"/>
      <c r="J65" s="10"/>
    </row>
    <row r="66" ht="20" customHeight="1" spans="1:10" x14ac:dyDescent="0.25">
      <c r="A66" s="10"/>
      <c r="B66" s="22"/>
      <c r="C66" s="10"/>
      <c r="D66" s="10"/>
      <c r="E66" s="16"/>
      <c r="F66" s="10"/>
      <c r="G66" s="26"/>
      <c r="H66" s="10"/>
      <c r="I66" s="10"/>
      <c r="J66" s="10"/>
    </row>
    <row r="67" ht="20" customHeight="1" spans="1:10" x14ac:dyDescent="0.25">
      <c r="A67" s="10"/>
      <c r="B67" s="22"/>
      <c r="C67" s="10"/>
      <c r="D67" s="10"/>
      <c r="E67" s="16"/>
      <c r="F67" s="10"/>
      <c r="G67" s="26"/>
      <c r="H67" s="10"/>
      <c r="I67" s="10"/>
      <c r="J67" s="10"/>
    </row>
    <row r="68" ht="20" customHeight="1" spans="1:10" x14ac:dyDescent="0.25">
      <c r="A68" s="10"/>
      <c r="B68" s="22"/>
      <c r="C68" s="10"/>
      <c r="D68" s="10"/>
      <c r="E68" s="16"/>
      <c r="F68" s="10"/>
      <c r="G68" s="26"/>
      <c r="H68" s="10"/>
      <c r="I68" s="10"/>
      <c r="J68" s="10"/>
    </row>
    <row r="69" ht="20" customHeight="1" spans="1:10" x14ac:dyDescent="0.25">
      <c r="A69" s="10"/>
      <c r="B69" s="22"/>
      <c r="C69" s="10"/>
      <c r="D69" s="10"/>
      <c r="E69" s="16"/>
      <c r="F69" s="10"/>
      <c r="G69" s="26"/>
      <c r="H69" s="10"/>
      <c r="I69" s="10"/>
      <c r="J69" s="10"/>
    </row>
    <row r="70" ht="20" customHeight="1" spans="1:10" x14ac:dyDescent="0.25">
      <c r="A70" s="10"/>
      <c r="B70" s="22"/>
      <c r="C70" s="10"/>
      <c r="D70" s="10"/>
      <c r="E70" s="16"/>
      <c r="F70" s="10"/>
      <c r="G70" s="26"/>
      <c r="H70" s="10"/>
      <c r="I70" s="10"/>
      <c r="J70" s="10"/>
    </row>
    <row r="71" ht="20" customHeight="1" spans="1:10" x14ac:dyDescent="0.25">
      <c r="A71" s="10"/>
      <c r="B71" s="22"/>
      <c r="C71" s="10"/>
      <c r="D71" s="10"/>
      <c r="E71" s="16"/>
      <c r="F71" s="10"/>
      <c r="G71" s="26"/>
      <c r="H71" s="10"/>
      <c r="I71" s="10"/>
      <c r="J71" s="10"/>
    </row>
    <row r="72" ht="20" customHeight="1" spans="1:10" x14ac:dyDescent="0.25">
      <c r="A72" s="10"/>
      <c r="B72" s="22"/>
      <c r="C72" s="10"/>
      <c r="D72" s="10"/>
      <c r="E72" s="16"/>
      <c r="F72" s="10"/>
      <c r="G72" s="26"/>
      <c r="H72" s="10"/>
      <c r="I72" s="10"/>
      <c r="J72" s="10"/>
    </row>
    <row r="73" ht="20" customHeight="1" spans="1:10" x14ac:dyDescent="0.25">
      <c r="A73" s="10"/>
      <c r="B73" s="22"/>
      <c r="C73" s="10"/>
      <c r="D73" s="10"/>
      <c r="E73" s="16"/>
      <c r="F73" s="10"/>
      <c r="G73" s="26"/>
      <c r="H73" s="10"/>
      <c r="I73" s="10"/>
      <c r="J73" s="10"/>
    </row>
    <row r="74" ht="20" customHeight="1" spans="1:10" x14ac:dyDescent="0.25">
      <c r="A74" s="10"/>
      <c r="B74" s="22"/>
      <c r="C74" s="10"/>
      <c r="D74" s="10"/>
      <c r="E74" s="16"/>
      <c r="F74" s="10"/>
      <c r="G74" s="26"/>
      <c r="H74" s="10"/>
      <c r="I74" s="10"/>
      <c r="J74" s="10"/>
    </row>
    <row r="75" ht="20" customHeight="1" spans="1:10" x14ac:dyDescent="0.25">
      <c r="A75" s="10"/>
      <c r="B75" s="22"/>
      <c r="C75" s="10"/>
      <c r="D75" s="10"/>
      <c r="E75" s="16"/>
      <c r="F75" s="10"/>
      <c r="G75" s="26"/>
      <c r="H75" s="10"/>
      <c r="I75" s="10"/>
      <c r="J75" s="10"/>
    </row>
    <row r="76" ht="20" customHeight="1" spans="1:10" x14ac:dyDescent="0.25">
      <c r="A76" s="10"/>
      <c r="B76" s="22"/>
      <c r="C76" s="10"/>
      <c r="D76" s="10"/>
      <c r="E76" s="16"/>
      <c r="F76" s="10"/>
      <c r="G76" s="26"/>
      <c r="H76" s="10"/>
      <c r="I76" s="10"/>
      <c r="J76" s="10"/>
    </row>
    <row r="77" ht="20" customHeight="1" spans="1:10" x14ac:dyDescent="0.25">
      <c r="A77" s="10"/>
      <c r="B77" s="22"/>
      <c r="C77" s="10"/>
      <c r="D77" s="10"/>
      <c r="E77" s="16"/>
      <c r="F77" s="10"/>
      <c r="G77" s="26"/>
      <c r="H77" s="10"/>
      <c r="I77" s="10"/>
      <c r="J77" s="10"/>
    </row>
    <row r="78" ht="20" customHeight="1" spans="1:10" x14ac:dyDescent="0.25">
      <c r="A78" s="10"/>
      <c r="B78" s="22"/>
      <c r="C78" s="10"/>
      <c r="D78" s="10"/>
      <c r="E78" s="16"/>
      <c r="F78" s="10"/>
      <c r="G78" s="26"/>
      <c r="H78" s="10"/>
      <c r="I78" s="10"/>
      <c r="J78" s="10"/>
    </row>
    <row r="79" ht="20" customHeight="1" spans="1:10" x14ac:dyDescent="0.25">
      <c r="A79" s="10"/>
      <c r="B79" s="22"/>
      <c r="C79" s="10"/>
      <c r="D79" s="10"/>
      <c r="E79" s="16"/>
      <c r="F79" s="10"/>
      <c r="G79" s="26"/>
      <c r="H79" s="10"/>
      <c r="I79" s="10"/>
      <c r="J79" s="10"/>
    </row>
    <row r="80" ht="20" customHeight="1" spans="1:10" x14ac:dyDescent="0.25">
      <c r="A80" s="10"/>
      <c r="B80" s="22"/>
      <c r="C80" s="10"/>
      <c r="D80" s="10"/>
      <c r="E80" s="16"/>
      <c r="F80" s="10"/>
      <c r="G80" s="26"/>
      <c r="H80" s="10"/>
      <c r="I80" s="10"/>
      <c r="J80" s="10"/>
    </row>
    <row r="81" ht="20" customHeight="1" spans="1:10" x14ac:dyDescent="0.25">
      <c r="A81" s="10"/>
      <c r="B81" s="22"/>
      <c r="C81" s="10"/>
      <c r="D81" s="10"/>
      <c r="E81" s="16"/>
      <c r="F81" s="10"/>
      <c r="G81" s="26"/>
      <c r="H81" s="10"/>
      <c r="I81" s="10"/>
      <c r="J81" s="10"/>
    </row>
    <row r="82" ht="20" customHeight="1" spans="1:10" x14ac:dyDescent="0.25">
      <c r="A82" s="10"/>
      <c r="B82" s="22"/>
      <c r="C82" s="10"/>
      <c r="D82" s="10"/>
      <c r="E82" s="16"/>
      <c r="F82" s="10"/>
      <c r="G82" s="26"/>
      <c r="H82" s="10"/>
      <c r="I82" s="10"/>
      <c r="J82" s="10"/>
    </row>
    <row r="83" ht="20" customHeight="1" spans="1:10" x14ac:dyDescent="0.25">
      <c r="A83" s="10"/>
      <c r="B83" s="22"/>
      <c r="C83" s="10"/>
      <c r="D83" s="10"/>
      <c r="E83" s="16"/>
      <c r="F83" s="10"/>
      <c r="G83" s="26"/>
      <c r="H83" s="10"/>
      <c r="I83" s="10"/>
      <c r="J83" s="10"/>
    </row>
    <row r="84" ht="20" customHeight="1" spans="1:10" x14ac:dyDescent="0.25">
      <c r="A84" s="10"/>
      <c r="B84" s="22"/>
      <c r="C84" s="10"/>
      <c r="D84" s="10"/>
      <c r="E84" s="16"/>
      <c r="F84" s="10"/>
      <c r="G84" s="26"/>
      <c r="H84" s="10"/>
      <c r="I84" s="10"/>
      <c r="J84" s="10"/>
    </row>
    <row r="85" ht="20" customHeight="1" spans="1:10" x14ac:dyDescent="0.25">
      <c r="A85" s="10"/>
      <c r="B85" s="22"/>
      <c r="C85" s="10"/>
      <c r="D85" s="10"/>
      <c r="E85" s="16"/>
      <c r="F85" s="10"/>
      <c r="G85" s="26"/>
      <c r="H85" s="10"/>
      <c r="I85" s="10"/>
      <c r="J85" s="10"/>
    </row>
    <row r="86" ht="20" customHeight="1" spans="1:10" x14ac:dyDescent="0.25">
      <c r="A86" s="10"/>
      <c r="B86" s="22"/>
      <c r="C86" s="10"/>
      <c r="D86" s="10"/>
      <c r="E86" s="16"/>
      <c r="F86" s="10"/>
      <c r="G86" s="26"/>
      <c r="H86" s="10"/>
      <c r="I86" s="10"/>
      <c r="J86" s="10"/>
    </row>
    <row r="87" ht="20" customHeight="1" spans="1:10" x14ac:dyDescent="0.25">
      <c r="A87" s="10"/>
      <c r="B87" s="22"/>
      <c r="C87" s="10"/>
      <c r="D87" s="10"/>
      <c r="E87" s="16"/>
      <c r="F87" s="10"/>
      <c r="G87" s="26"/>
      <c r="H87" s="10"/>
      <c r="I87" s="10"/>
      <c r="J87" s="10"/>
    </row>
    <row r="88" ht="20" customHeight="1" spans="1:10" x14ac:dyDescent="0.25">
      <c r="A88" s="10"/>
      <c r="B88" s="22"/>
      <c r="C88" s="10"/>
      <c r="D88" s="10"/>
      <c r="E88" s="16"/>
      <c r="F88" s="10"/>
      <c r="G88" s="26"/>
      <c r="H88" s="10"/>
      <c r="I88" s="10"/>
      <c r="J88" s="10"/>
    </row>
    <row r="89" ht="20" customHeight="1" spans="1:10" x14ac:dyDescent="0.25">
      <c r="A89" s="10"/>
      <c r="B89" s="22"/>
      <c r="C89" s="10"/>
      <c r="D89" s="10"/>
      <c r="E89" s="16"/>
      <c r="F89" s="10"/>
      <c r="G89" s="26"/>
      <c r="H89" s="10"/>
      <c r="I89" s="10"/>
      <c r="J89" s="10"/>
    </row>
    <row r="90" ht="20" customHeight="1" spans="1:10" x14ac:dyDescent="0.25">
      <c r="A90" s="10"/>
      <c r="B90" s="22"/>
      <c r="C90" s="10"/>
      <c r="D90" s="10"/>
      <c r="E90" s="16"/>
      <c r="F90" s="10"/>
      <c r="G90" s="26"/>
      <c r="H90" s="10"/>
      <c r="I90" s="10"/>
      <c r="J90" s="10"/>
    </row>
    <row r="91" ht="20" customHeight="1" spans="1:10" x14ac:dyDescent="0.25">
      <c r="A91" s="10"/>
      <c r="B91" s="22"/>
      <c r="C91" s="10"/>
      <c r="D91" s="10"/>
      <c r="E91" s="16"/>
      <c r="F91" s="10"/>
      <c r="G91" s="26"/>
      <c r="H91" s="10"/>
      <c r="I91" s="10"/>
      <c r="J91" s="10"/>
    </row>
    <row r="92" ht="20" customHeight="1" spans="1:10" x14ac:dyDescent="0.25">
      <c r="A92" s="10"/>
      <c r="B92" s="22"/>
      <c r="C92" s="10"/>
      <c r="D92" s="10"/>
      <c r="E92" s="16"/>
      <c r="F92" s="10"/>
      <c r="G92" s="26"/>
      <c r="H92" s="10"/>
      <c r="I92" s="10"/>
      <c r="J92" s="10"/>
    </row>
    <row r="93" ht="20" customHeight="1" spans="1:10" x14ac:dyDescent="0.25">
      <c r="A93" s="10"/>
      <c r="B93" s="22"/>
      <c r="C93" s="10"/>
      <c r="D93" s="10"/>
      <c r="E93" s="16"/>
      <c r="F93" s="10"/>
      <c r="G93" s="26"/>
      <c r="H93" s="10"/>
      <c r="I93" s="10"/>
      <c r="J93" s="10"/>
    </row>
    <row r="94" ht="20" customHeight="1" spans="1:10" x14ac:dyDescent="0.25">
      <c r="A94" s="10"/>
      <c r="B94" s="22"/>
      <c r="C94" s="10"/>
      <c r="D94" s="10"/>
      <c r="E94" s="16"/>
      <c r="F94" s="10"/>
      <c r="G94" s="26"/>
      <c r="H94" s="10"/>
      <c r="I94" s="10"/>
      <c r="J94" s="10"/>
    </row>
    <row r="95" ht="20" customHeight="1" spans="1:10" x14ac:dyDescent="0.25">
      <c r="A95" s="10"/>
      <c r="B95" s="22"/>
      <c r="C95" s="10"/>
      <c r="D95" s="10"/>
      <c r="E95" s="16"/>
      <c r="F95" s="10"/>
      <c r="G95" s="26"/>
      <c r="H95" s="10"/>
      <c r="I95" s="10"/>
      <c r="J95" s="10"/>
    </row>
    <row r="96" ht="20" customHeight="1" spans="1:10" x14ac:dyDescent="0.25">
      <c r="A96" s="10"/>
      <c r="B96" s="22"/>
      <c r="C96" s="10"/>
      <c r="D96" s="10"/>
      <c r="E96" s="16"/>
      <c r="F96" s="10"/>
      <c r="G96" s="26"/>
      <c r="H96" s="10"/>
      <c r="I96" s="10"/>
      <c r="J96" s="10"/>
    </row>
    <row r="97" ht="20" customHeight="1" spans="1:10" x14ac:dyDescent="0.25">
      <c r="A97" s="10"/>
      <c r="B97" s="22"/>
      <c r="C97" s="10"/>
      <c r="D97" s="10"/>
      <c r="E97" s="16"/>
      <c r="F97" s="10"/>
      <c r="G97" s="26"/>
      <c r="H97" s="10"/>
      <c r="I97" s="10"/>
      <c r="J97" s="10"/>
    </row>
    <row r="98" ht="20" customHeight="1" spans="1:10" x14ac:dyDescent="0.25">
      <c r="A98" s="10"/>
      <c r="B98" s="22"/>
      <c r="C98" s="10"/>
      <c r="D98" s="10"/>
      <c r="E98" s="16"/>
      <c r="F98" s="10"/>
      <c r="G98" s="26"/>
      <c r="H98" s="10"/>
      <c r="I98" s="10"/>
      <c r="J98" s="10"/>
    </row>
    <row r="99" ht="20" customHeight="1" spans="1:10" x14ac:dyDescent="0.25">
      <c r="A99" s="10"/>
      <c r="B99" s="22"/>
      <c r="C99" s="10"/>
      <c r="D99" s="10"/>
      <c r="E99" s="16"/>
      <c r="F99" s="10"/>
      <c r="G99" s="26"/>
      <c r="H99" s="10"/>
      <c r="I99" s="10"/>
      <c r="J99" s="10"/>
    </row>
    <row r="100" ht="20" customHeight="1" spans="1:10" x14ac:dyDescent="0.25">
      <c r="A100" s="10"/>
      <c r="B100" s="22"/>
      <c r="C100" s="10"/>
      <c r="D100" s="10"/>
      <c r="E100" s="16"/>
      <c r="F100" s="10"/>
      <c r="G100" s="26"/>
      <c r="H100" s="10"/>
      <c r="I100" s="10"/>
      <c r="J100" s="10"/>
    </row>
    <row r="101" ht="20" customHeight="1" spans="1:10" x14ac:dyDescent="0.25">
      <c r="A101" s="10"/>
      <c r="B101" s="22"/>
      <c r="C101" s="10"/>
      <c r="D101" s="10"/>
      <c r="E101" s="16"/>
      <c r="F101" s="10"/>
      <c r="G101" s="26"/>
      <c r="H101" s="10"/>
      <c r="I101" s="10"/>
      <c r="J101" s="10"/>
    </row>
    <row r="102" ht="20" customHeight="1" spans="1:10" x14ac:dyDescent="0.25">
      <c r="A102" s="10"/>
      <c r="B102" s="22"/>
      <c r="C102" s="10"/>
      <c r="D102" s="10"/>
      <c r="E102" s="16"/>
      <c r="F102" s="10"/>
      <c r="G102" s="26"/>
      <c r="H102" s="10"/>
      <c r="I102" s="10"/>
      <c r="J102" s="10"/>
    </row>
    <row r="103" ht="20" customHeight="1" spans="1:10" x14ac:dyDescent="0.25">
      <c r="A103" s="10"/>
      <c r="B103" s="22"/>
      <c r="C103" s="10"/>
      <c r="D103" s="10"/>
      <c r="E103" s="16"/>
      <c r="F103" s="10"/>
      <c r="G103" s="26"/>
      <c r="H103" s="10"/>
      <c r="I103" s="10"/>
      <c r="J103" s="10"/>
    </row>
    <row r="104" ht="20" customHeight="1" spans="1:10" x14ac:dyDescent="0.25">
      <c r="A104" s="10"/>
      <c r="B104" s="22"/>
      <c r="C104" s="10"/>
      <c r="D104" s="10"/>
      <c r="E104" s="16"/>
      <c r="F104" s="10"/>
      <c r="G104" s="26"/>
      <c r="H104" s="10"/>
      <c r="I104" s="10"/>
      <c r="J104" s="10"/>
    </row>
    <row r="105" ht="20" customHeight="1" spans="1:10" x14ac:dyDescent="0.25">
      <c r="A105" s="10"/>
      <c r="B105" s="22"/>
      <c r="C105" s="10"/>
      <c r="D105" s="10"/>
      <c r="E105" s="16"/>
      <c r="F105" s="10"/>
      <c r="G105" s="26"/>
      <c r="H105" s="10"/>
      <c r="I105" s="10"/>
      <c r="J105" s="10"/>
    </row>
    <row r="106" ht="20" customHeight="1" spans="1:10" x14ac:dyDescent="0.25">
      <c r="A106" s="10"/>
      <c r="B106" s="22"/>
      <c r="C106" s="10"/>
      <c r="D106" s="10"/>
      <c r="E106" s="16"/>
      <c r="F106" s="10"/>
      <c r="G106" s="26"/>
      <c r="H106" s="10"/>
      <c r="I106" s="10"/>
      <c r="J106" s="10"/>
    </row>
    <row r="107" ht="20" customHeight="1" spans="1:10" x14ac:dyDescent="0.25">
      <c r="A107" s="10"/>
      <c r="B107" s="22"/>
      <c r="C107" s="10"/>
      <c r="D107" s="10"/>
      <c r="E107" s="16"/>
      <c r="F107" s="10"/>
      <c r="G107" s="26"/>
      <c r="H107" s="10"/>
      <c r="I107" s="10"/>
      <c r="J107" s="10"/>
    </row>
    <row r="108" ht="20" customHeight="1" spans="1:10" x14ac:dyDescent="0.25">
      <c r="A108" s="10"/>
      <c r="B108" s="22"/>
      <c r="C108" s="10"/>
      <c r="D108" s="10"/>
      <c r="E108" s="16"/>
      <c r="F108" s="10"/>
      <c r="G108" s="26"/>
      <c r="H108" s="10"/>
      <c r="I108" s="10"/>
      <c r="J108" s="10"/>
    </row>
    <row r="109" ht="20" customHeight="1" spans="1:10" x14ac:dyDescent="0.25">
      <c r="A109" s="10"/>
      <c r="B109" s="22"/>
      <c r="C109" s="10"/>
      <c r="D109" s="10"/>
      <c r="E109" s="16"/>
      <c r="F109" s="10"/>
      <c r="G109" s="26"/>
      <c r="H109" s="10"/>
      <c r="I109" s="10"/>
      <c r="J109" s="10"/>
    </row>
    <row r="110" ht="20" customHeight="1" spans="1:10" x14ac:dyDescent="0.25">
      <c r="A110" s="10"/>
      <c r="B110" s="22"/>
      <c r="C110" s="10"/>
      <c r="D110" s="10"/>
      <c r="E110" s="16"/>
      <c r="F110" s="10"/>
      <c r="G110" s="26"/>
      <c r="H110" s="10"/>
      <c r="I110" s="10"/>
      <c r="J110" s="10"/>
    </row>
    <row r="111" ht="20" customHeight="1" spans="1:10" x14ac:dyDescent="0.25">
      <c r="A111" s="10"/>
      <c r="B111" s="22"/>
      <c r="C111" s="10"/>
      <c r="D111" s="10"/>
      <c r="E111" s="16"/>
      <c r="F111" s="10"/>
      <c r="G111" s="26"/>
      <c r="H111" s="10"/>
      <c r="I111" s="10"/>
      <c r="J111" s="10"/>
    </row>
    <row r="112" ht="20" customHeight="1" spans="1:10" x14ac:dyDescent="0.25">
      <c r="A112" s="10"/>
      <c r="B112" s="22"/>
      <c r="C112" s="10"/>
      <c r="D112" s="10"/>
      <c r="E112" s="16"/>
      <c r="F112" s="10"/>
      <c r="G112" s="26"/>
      <c r="H112" s="10"/>
      <c r="I112" s="10"/>
      <c r="J112" s="10"/>
    </row>
    <row r="113" ht="20" customHeight="1" spans="1:10" x14ac:dyDescent="0.25">
      <c r="A113" s="10"/>
      <c r="B113" s="22"/>
      <c r="C113" s="10"/>
      <c r="D113" s="10"/>
      <c r="E113" s="16"/>
      <c r="F113" s="10"/>
      <c r="G113" s="26"/>
      <c r="H113" s="10"/>
      <c r="I113" s="10"/>
      <c r="J113" s="10"/>
    </row>
    <row r="114" ht="20" customHeight="1" spans="1:10" x14ac:dyDescent="0.25">
      <c r="A114" s="10"/>
      <c r="B114" s="22"/>
      <c r="C114" s="10"/>
      <c r="D114" s="10"/>
      <c r="E114" s="16"/>
      <c r="F114" s="10"/>
      <c r="G114" s="26"/>
      <c r="H114" s="10"/>
      <c r="I114" s="10"/>
      <c r="J114" s="10"/>
    </row>
    <row r="115" ht="20" customHeight="1" spans="1:10" x14ac:dyDescent="0.25">
      <c r="A115" s="10"/>
      <c r="B115" s="22"/>
      <c r="C115" s="10"/>
      <c r="D115" s="10"/>
      <c r="E115" s="16"/>
      <c r="F115" s="10"/>
      <c r="G115" s="26"/>
      <c r="H115" s="10"/>
      <c r="I115" s="10"/>
      <c r="J115" s="10"/>
    </row>
    <row r="116" ht="20" customHeight="1" spans="1:10" x14ac:dyDescent="0.25">
      <c r="A116" s="10"/>
      <c r="B116" s="22"/>
      <c r="C116" s="10"/>
      <c r="D116" s="10"/>
      <c r="E116" s="16"/>
      <c r="F116" s="10"/>
      <c r="G116" s="26"/>
      <c r="H116" s="10"/>
      <c r="I116" s="10"/>
      <c r="J116" s="10"/>
    </row>
    <row r="117" ht="20" customHeight="1" spans="1:10" x14ac:dyDescent="0.25">
      <c r="A117" s="10"/>
      <c r="B117" s="22"/>
      <c r="C117" s="10"/>
      <c r="D117" s="10"/>
      <c r="E117" s="16"/>
      <c r="F117" s="10"/>
      <c r="G117" s="26"/>
      <c r="H117" s="10"/>
      <c r="I117" s="10"/>
      <c r="J117" s="10"/>
    </row>
    <row r="118" ht="20" customHeight="1" spans="1:10" x14ac:dyDescent="0.25">
      <c r="A118" s="10"/>
      <c r="B118" s="22"/>
      <c r="C118" s="10"/>
      <c r="D118" s="10"/>
      <c r="E118" s="16"/>
      <c r="F118" s="10"/>
      <c r="G118" s="26"/>
      <c r="H118" s="10"/>
      <c r="I118" s="10"/>
      <c r="J118" s="10"/>
    </row>
    <row r="119" ht="20" customHeight="1" spans="1:10" x14ac:dyDescent="0.25">
      <c r="A119" s="10"/>
      <c r="B119" s="22"/>
      <c r="C119" s="10"/>
      <c r="D119" s="10"/>
      <c r="E119" s="16"/>
      <c r="F119" s="10"/>
      <c r="G119" s="26"/>
      <c r="H119" s="10"/>
      <c r="I119" s="10"/>
      <c r="J119" s="10"/>
    </row>
    <row r="120" ht="20" customHeight="1" spans="1:10" x14ac:dyDescent="0.25">
      <c r="A120" s="10"/>
      <c r="B120" s="22"/>
      <c r="C120" s="10"/>
      <c r="D120" s="10"/>
      <c r="E120" s="16"/>
      <c r="F120" s="10"/>
      <c r="G120" s="26"/>
      <c r="H120" s="10"/>
      <c r="I120" s="10"/>
      <c r="J120" s="10"/>
    </row>
    <row r="121" ht="20" customHeight="1" spans="1:10" x14ac:dyDescent="0.25">
      <c r="A121" s="10"/>
      <c r="B121" s="22"/>
      <c r="C121" s="10"/>
      <c r="D121" s="10"/>
      <c r="E121" s="16"/>
      <c r="F121" s="10"/>
      <c r="G121" s="26"/>
      <c r="H121" s="10"/>
      <c r="I121" s="10"/>
      <c r="J121" s="10"/>
    </row>
    <row r="122" ht="20" customHeight="1" spans="1:10" x14ac:dyDescent="0.25">
      <c r="A122" s="10"/>
      <c r="B122" s="22"/>
      <c r="C122" s="10"/>
      <c r="D122" s="10"/>
      <c r="E122" s="16"/>
      <c r="F122" s="10"/>
      <c r="G122" s="26"/>
      <c r="H122" s="10"/>
      <c r="I122" s="10"/>
      <c r="J122" s="10"/>
    </row>
    <row r="123" ht="20" customHeight="1" spans="1:10" x14ac:dyDescent="0.25">
      <c r="A123" s="10"/>
      <c r="B123" s="22"/>
      <c r="C123" s="10"/>
      <c r="D123" s="10"/>
      <c r="E123" s="16"/>
      <c r="F123" s="10"/>
      <c r="G123" s="26"/>
      <c r="H123" s="10"/>
      <c r="I123" s="10"/>
      <c r="J123" s="10"/>
    </row>
    <row r="124" ht="20" customHeight="1" spans="1:10" x14ac:dyDescent="0.25">
      <c r="A124" s="10"/>
      <c r="B124" s="22"/>
      <c r="C124" s="10"/>
      <c r="D124" s="10"/>
      <c r="E124" s="16"/>
      <c r="F124" s="10"/>
      <c r="G124" s="26"/>
      <c r="H124" s="10"/>
      <c r="I124" s="10"/>
      <c r="J124" s="10"/>
    </row>
    <row r="125" ht="20" customHeight="1" spans="1:10" x14ac:dyDescent="0.25">
      <c r="A125" s="10"/>
      <c r="B125" s="22"/>
      <c r="C125" s="10"/>
      <c r="D125" s="10"/>
      <c r="E125" s="16"/>
      <c r="F125" s="10"/>
      <c r="G125" s="26"/>
      <c r="H125" s="10"/>
      <c r="I125" s="10"/>
      <c r="J125" s="10"/>
    </row>
    <row r="126" ht="20" customHeight="1" spans="1:10" x14ac:dyDescent="0.25">
      <c r="A126" s="10"/>
      <c r="B126" s="22"/>
      <c r="C126" s="10"/>
      <c r="D126" s="10"/>
      <c r="E126" s="16"/>
      <c r="F126" s="10"/>
      <c r="G126" s="26"/>
      <c r="H126" s="10"/>
      <c r="I126" s="10"/>
      <c r="J126" s="10"/>
    </row>
    <row r="127" ht="20" customHeight="1" spans="1:10" x14ac:dyDescent="0.25">
      <c r="A127" s="10"/>
      <c r="B127" s="22"/>
      <c r="C127" s="10"/>
      <c r="D127" s="10"/>
      <c r="E127" s="16"/>
      <c r="F127" s="10"/>
      <c r="G127" s="26"/>
      <c r="H127" s="10"/>
      <c r="I127" s="10"/>
      <c r="J127" s="10"/>
    </row>
    <row r="128" ht="20" customHeight="1" spans="1:10" x14ac:dyDescent="0.25">
      <c r="A128" s="10"/>
      <c r="B128" s="22"/>
      <c r="C128" s="10"/>
      <c r="D128" s="10"/>
      <c r="E128" s="16"/>
      <c r="F128" s="10"/>
      <c r="G128" s="26"/>
      <c r="H128" s="10"/>
      <c r="I128" s="10"/>
      <c r="J128" s="10"/>
    </row>
    <row r="129" ht="20" customHeight="1" spans="1:10" x14ac:dyDescent="0.25">
      <c r="A129" s="10"/>
      <c r="B129" s="22"/>
      <c r="C129" s="10"/>
      <c r="D129" s="10"/>
      <c r="E129" s="16"/>
      <c r="F129" s="10"/>
      <c r="G129" s="26"/>
      <c r="H129" s="10"/>
      <c r="I129" s="10"/>
      <c r="J129" s="10"/>
    </row>
    <row r="130" ht="20" customHeight="1" spans="1:10" x14ac:dyDescent="0.25">
      <c r="A130" s="10"/>
      <c r="B130" s="22"/>
      <c r="C130" s="10"/>
      <c r="D130" s="10"/>
      <c r="E130" s="16"/>
      <c r="F130" s="10"/>
      <c r="G130" s="26"/>
      <c r="H130" s="10"/>
      <c r="I130" s="10"/>
      <c r="J130" s="10"/>
    </row>
    <row r="131" ht="20" customHeight="1" spans="1:10" x14ac:dyDescent="0.25">
      <c r="A131" s="10"/>
      <c r="B131" s="22"/>
      <c r="C131" s="10"/>
      <c r="D131" s="10"/>
      <c r="E131" s="16"/>
      <c r="F131" s="10"/>
      <c r="G131" s="26"/>
      <c r="H131" s="10"/>
      <c r="I131" s="10"/>
      <c r="J131" s="10"/>
    </row>
    <row r="132" ht="20" customHeight="1" spans="1:10" x14ac:dyDescent="0.25">
      <c r="A132" s="10"/>
      <c r="B132" s="22"/>
      <c r="C132" s="10"/>
      <c r="D132" s="10"/>
      <c r="E132" s="16"/>
      <c r="F132" s="10"/>
      <c r="G132" s="26"/>
      <c r="H132" s="10"/>
      <c r="I132" s="10"/>
      <c r="J132" s="10"/>
    </row>
    <row r="133" ht="20" customHeight="1" spans="1:10" x14ac:dyDescent="0.25">
      <c r="A133" s="10"/>
      <c r="B133" s="22"/>
      <c r="C133" s="10"/>
      <c r="D133" s="10"/>
      <c r="E133" s="16"/>
      <c r="F133" s="10"/>
      <c r="G133" s="26"/>
      <c r="H133" s="10"/>
      <c r="I133" s="10"/>
      <c r="J133" s="10"/>
    </row>
    <row r="134" ht="20" customHeight="1" spans="1:10" x14ac:dyDescent="0.25">
      <c r="A134" s="10"/>
      <c r="B134" s="22"/>
      <c r="C134" s="10"/>
      <c r="D134" s="10"/>
      <c r="E134" s="16"/>
      <c r="F134" s="10"/>
      <c r="G134" s="26"/>
      <c r="H134" s="10"/>
      <c r="I134" s="10"/>
      <c r="J134" s="10"/>
    </row>
    <row r="135" ht="20" customHeight="1" spans="1:10" x14ac:dyDescent="0.25">
      <c r="A135" s="10"/>
      <c r="B135" s="22"/>
      <c r="C135" s="10"/>
      <c r="D135" s="10"/>
      <c r="E135" s="16"/>
      <c r="F135" s="10"/>
      <c r="G135" s="26"/>
      <c r="H135" s="10"/>
      <c r="I135" s="10"/>
      <c r="J135" s="10"/>
    </row>
    <row r="136" ht="20" customHeight="1" spans="1:10" x14ac:dyDescent="0.25">
      <c r="A136" s="10"/>
      <c r="B136" s="22"/>
      <c r="C136" s="10"/>
      <c r="D136" s="10"/>
      <c r="E136" s="16"/>
      <c r="F136" s="10"/>
      <c r="G136" s="26"/>
      <c r="H136" s="10"/>
      <c r="I136" s="10"/>
      <c r="J136" s="10"/>
    </row>
    <row r="137" ht="20" customHeight="1" spans="1:10" x14ac:dyDescent="0.25">
      <c r="A137" s="10"/>
      <c r="B137" s="22"/>
      <c r="C137" s="10"/>
      <c r="D137" s="10"/>
      <c r="E137" s="16"/>
      <c r="F137" s="10"/>
      <c r="G137" s="26"/>
      <c r="H137" s="10"/>
      <c r="I137" s="10"/>
      <c r="J137" s="10"/>
    </row>
    <row r="138" ht="20" customHeight="1" spans="1:10" x14ac:dyDescent="0.25">
      <c r="A138" s="10"/>
      <c r="B138" s="22"/>
      <c r="C138" s="10"/>
      <c r="D138" s="10"/>
      <c r="E138" s="16"/>
      <c r="F138" s="10"/>
      <c r="G138" s="26"/>
      <c r="H138" s="10"/>
      <c r="I138" s="10"/>
      <c r="J138" s="10"/>
    </row>
    <row r="139" ht="20" customHeight="1" spans="1:10" x14ac:dyDescent="0.25">
      <c r="A139" s="10"/>
      <c r="B139" s="22"/>
      <c r="C139" s="10"/>
      <c r="D139" s="10"/>
      <c r="E139" s="16"/>
      <c r="F139" s="10"/>
      <c r="G139" s="26"/>
      <c r="H139" s="10"/>
      <c r="I139" s="10"/>
      <c r="J139" s="10"/>
    </row>
    <row r="140" ht="20" customHeight="1" spans="1:10" x14ac:dyDescent="0.25">
      <c r="A140" s="10"/>
      <c r="B140" s="22"/>
      <c r="C140" s="10"/>
      <c r="D140" s="10"/>
      <c r="E140" s="16"/>
      <c r="F140" s="10"/>
      <c r="G140" s="26"/>
      <c r="H140" s="10"/>
      <c r="I140" s="10"/>
      <c r="J140" s="10"/>
    </row>
    <row r="141" ht="20" customHeight="1" spans="1:10" x14ac:dyDescent="0.25">
      <c r="A141" s="10"/>
      <c r="B141" s="22"/>
      <c r="C141" s="10"/>
      <c r="D141" s="10"/>
      <c r="E141" s="16"/>
      <c r="F141" s="10"/>
      <c r="G141" s="26"/>
      <c r="H141" s="10"/>
      <c r="I141" s="10"/>
      <c r="J141" s="10"/>
    </row>
    <row r="142" ht="20" customHeight="1" spans="1:10" x14ac:dyDescent="0.25">
      <c r="A142" s="10"/>
      <c r="B142" s="22"/>
      <c r="C142" s="10"/>
      <c r="D142" s="10"/>
      <c r="E142" s="16"/>
      <c r="F142" s="10"/>
      <c r="G142" s="26"/>
      <c r="H142" s="10"/>
      <c r="I142" s="10"/>
      <c r="J142" s="10"/>
    </row>
    <row r="143" ht="20" customHeight="1" spans="1:10" x14ac:dyDescent="0.25">
      <c r="A143" s="10"/>
      <c r="B143" s="22"/>
      <c r="C143" s="10"/>
      <c r="D143" s="10"/>
      <c r="E143" s="16"/>
      <c r="F143" s="10"/>
      <c r="G143" s="26"/>
      <c r="H143" s="10"/>
      <c r="I143" s="10"/>
      <c r="J143" s="10"/>
    </row>
    <row r="144" ht="20" customHeight="1" spans="1:10" x14ac:dyDescent="0.25">
      <c r="A144" s="10"/>
      <c r="B144" s="22"/>
      <c r="C144" s="10"/>
      <c r="D144" s="10"/>
      <c r="E144" s="16"/>
      <c r="F144" s="10"/>
      <c r="G144" s="26"/>
      <c r="H144" s="10"/>
      <c r="I144" s="10"/>
      <c r="J144" s="10"/>
    </row>
    <row r="145" ht="20" customHeight="1" spans="1:10" x14ac:dyDescent="0.25">
      <c r="A145" s="10"/>
      <c r="B145" s="22"/>
      <c r="C145" s="10"/>
      <c r="D145" s="10"/>
      <c r="E145" s="16"/>
      <c r="F145" s="10"/>
      <c r="G145" s="26"/>
      <c r="H145" s="10"/>
      <c r="I145" s="10"/>
      <c r="J145" s="10"/>
    </row>
    <row r="146" ht="20" customHeight="1" spans="1:10" x14ac:dyDescent="0.25">
      <c r="A146" s="10"/>
      <c r="B146" s="22"/>
      <c r="C146" s="10"/>
      <c r="D146" s="10"/>
      <c r="E146" s="16"/>
      <c r="F146" s="10"/>
      <c r="G146" s="26"/>
      <c r="H146" s="10"/>
      <c r="I146" s="10"/>
      <c r="J146" s="10"/>
    </row>
    <row r="147" ht="20" customHeight="1" spans="1:10" x14ac:dyDescent="0.25">
      <c r="A147" s="10"/>
      <c r="B147" s="22"/>
      <c r="C147" s="10"/>
      <c r="D147" s="10"/>
      <c r="E147" s="16"/>
      <c r="F147" s="10"/>
      <c r="G147" s="26"/>
      <c r="H147" s="10"/>
      <c r="I147" s="10"/>
      <c r="J147" s="10"/>
    </row>
    <row r="148" ht="20" customHeight="1" spans="1:10" x14ac:dyDescent="0.25">
      <c r="A148" s="10"/>
      <c r="B148" s="22"/>
      <c r="C148" s="10"/>
      <c r="D148" s="10"/>
      <c r="E148" s="16"/>
      <c r="F148" s="10"/>
      <c r="G148" s="26"/>
      <c r="H148" s="10"/>
      <c r="I148" s="10"/>
      <c r="J148" s="10"/>
    </row>
    <row r="149" ht="20" customHeight="1" spans="1:10" x14ac:dyDescent="0.25">
      <c r="A149" s="10"/>
      <c r="B149" s="22"/>
      <c r="C149" s="10"/>
      <c r="D149" s="10"/>
      <c r="E149" s="16"/>
      <c r="F149" s="10"/>
      <c r="G149" s="26"/>
      <c r="H149" s="10"/>
      <c r="I149" s="10"/>
      <c r="J149" s="10"/>
    </row>
    <row r="150" ht="20" customHeight="1" spans="1:10" x14ac:dyDescent="0.25">
      <c r="A150" s="10"/>
      <c r="B150" s="22"/>
      <c r="C150" s="10"/>
      <c r="D150" s="10"/>
      <c r="E150" s="16"/>
      <c r="F150" s="10"/>
      <c r="G150" s="26"/>
      <c r="H150" s="10"/>
      <c r="I150" s="10"/>
      <c r="J150" s="10"/>
    </row>
    <row r="151" ht="20" customHeight="1" spans="1:10" x14ac:dyDescent="0.25">
      <c r="A151" s="10"/>
      <c r="B151" s="22"/>
      <c r="C151" s="10"/>
      <c r="D151" s="10"/>
      <c r="E151" s="16"/>
      <c r="F151" s="10"/>
      <c r="G151" s="26"/>
      <c r="H151" s="10"/>
      <c r="I151" s="10"/>
      <c r="J151" s="10"/>
    </row>
    <row r="152" ht="20" customHeight="1" spans="1:10" x14ac:dyDescent="0.25">
      <c r="A152" s="10"/>
      <c r="B152" s="22"/>
      <c r="C152" s="10"/>
      <c r="D152" s="10"/>
      <c r="E152" s="16"/>
      <c r="F152" s="10"/>
      <c r="G152" s="26"/>
      <c r="H152" s="10"/>
      <c r="I152" s="10"/>
      <c r="J152" s="10"/>
    </row>
    <row r="153" ht="20" customHeight="1" spans="1:10" x14ac:dyDescent="0.25">
      <c r="A153" s="10"/>
      <c r="B153" s="22"/>
      <c r="C153" s="10"/>
      <c r="D153" s="10"/>
      <c r="E153" s="16"/>
      <c r="F153" s="10"/>
      <c r="G153" s="26"/>
      <c r="H153" s="10"/>
      <c r="I153" s="10"/>
      <c r="J153" s="10"/>
    </row>
    <row r="154" ht="20" customHeight="1" spans="1:10" x14ac:dyDescent="0.25">
      <c r="A154" s="10"/>
      <c r="B154" s="22"/>
      <c r="C154" s="10"/>
      <c r="D154" s="10"/>
      <c r="E154" s="16"/>
      <c r="F154" s="10"/>
      <c r="G154" s="26"/>
      <c r="H154" s="10"/>
      <c r="I154" s="10"/>
      <c r="J154" s="10"/>
    </row>
    <row r="155" ht="20" customHeight="1" spans="1:10" x14ac:dyDescent="0.25">
      <c r="A155" s="10"/>
      <c r="B155" s="22"/>
      <c r="C155" s="10"/>
      <c r="D155" s="10"/>
      <c r="E155" s="16"/>
      <c r="F155" s="10"/>
      <c r="G155" s="26"/>
      <c r="H155" s="10"/>
      <c r="I155" s="10"/>
      <c r="J155" s="10"/>
    </row>
    <row r="156" ht="20" customHeight="1" spans="1:10" x14ac:dyDescent="0.25">
      <c r="A156" s="10"/>
      <c r="B156" s="22"/>
      <c r="C156" s="10"/>
      <c r="D156" s="10"/>
      <c r="E156" s="16"/>
      <c r="F156" s="10"/>
      <c r="G156" s="26"/>
      <c r="H156" s="10"/>
      <c r="I156" s="10"/>
      <c r="J156" s="10"/>
    </row>
    <row r="157" ht="20" customHeight="1" spans="1:10" x14ac:dyDescent="0.25">
      <c r="A157" s="10"/>
      <c r="B157" s="22"/>
      <c r="C157" s="10"/>
      <c r="D157" s="10"/>
      <c r="E157" s="16"/>
      <c r="F157" s="10"/>
      <c r="G157" s="26"/>
      <c r="H157" s="10"/>
      <c r="I157" s="10"/>
      <c r="J157" s="10"/>
    </row>
    <row r="158" ht="20" customHeight="1" spans="1:10" x14ac:dyDescent="0.25">
      <c r="A158" s="10"/>
      <c r="B158" s="22"/>
      <c r="C158" s="10"/>
      <c r="D158" s="10"/>
      <c r="E158" s="16"/>
      <c r="F158" s="10"/>
      <c r="G158" s="26"/>
      <c r="H158" s="10"/>
      <c r="I158" s="10"/>
      <c r="J158" s="10"/>
    </row>
    <row r="159" ht="20" customHeight="1" spans="1:10" x14ac:dyDescent="0.25">
      <c r="A159" s="10"/>
      <c r="B159" s="22"/>
      <c r="C159" s="10"/>
      <c r="D159" s="10"/>
      <c r="E159" s="16"/>
      <c r="F159" s="10"/>
      <c r="G159" s="26"/>
      <c r="H159" s="10"/>
      <c r="I159" s="10"/>
      <c r="J159" s="10"/>
    </row>
    <row r="160" ht="20" customHeight="1" spans="1:10" x14ac:dyDescent="0.25">
      <c r="A160" s="10"/>
      <c r="B160" s="22"/>
      <c r="C160" s="10"/>
      <c r="D160" s="10"/>
      <c r="E160" s="16"/>
      <c r="F160" s="10"/>
      <c r="G160" s="26"/>
      <c r="H160" s="10"/>
      <c r="I160" s="10"/>
      <c r="J160" s="10"/>
    </row>
    <row r="161" ht="20" customHeight="1" spans="1:10" x14ac:dyDescent="0.25">
      <c r="A161" s="10"/>
      <c r="B161" s="22"/>
      <c r="C161" s="10"/>
      <c r="D161" s="10"/>
      <c r="E161" s="16"/>
      <c r="F161" s="10"/>
      <c r="G161" s="26"/>
      <c r="H161" s="10"/>
      <c r="I161" s="10"/>
      <c r="J161" s="10"/>
    </row>
    <row r="162" ht="20" customHeight="1" spans="1:10" x14ac:dyDescent="0.25">
      <c r="A162" s="10"/>
      <c r="B162" s="22"/>
      <c r="C162" s="10"/>
      <c r="D162" s="10"/>
      <c r="E162" s="16"/>
      <c r="F162" s="10"/>
      <c r="G162" s="26"/>
      <c r="H162" s="10"/>
      <c r="I162" s="10"/>
      <c r="J162" s="10"/>
    </row>
    <row r="163" ht="20" customHeight="1" spans="1:10" x14ac:dyDescent="0.25">
      <c r="A163" s="10"/>
      <c r="B163" s="22"/>
      <c r="C163" s="10"/>
      <c r="D163" s="10"/>
      <c r="E163" s="16"/>
      <c r="F163" s="10"/>
      <c r="G163" s="26"/>
      <c r="H163" s="10"/>
      <c r="I163" s="10"/>
      <c r="J163" s="10"/>
    </row>
    <row r="164" ht="20" customHeight="1" spans="1:10" x14ac:dyDescent="0.25">
      <c r="A164" s="10"/>
      <c r="B164" s="22"/>
      <c r="C164" s="10"/>
      <c r="D164" s="10"/>
      <c r="E164" s="16"/>
      <c r="F164" s="10"/>
      <c r="G164" s="26"/>
      <c r="H164" s="10"/>
      <c r="I164" s="10"/>
      <c r="J164" s="10"/>
    </row>
    <row r="165" ht="20" customHeight="1" spans="1:10" x14ac:dyDescent="0.25">
      <c r="A165" s="10"/>
      <c r="B165" s="22"/>
      <c r="C165" s="10"/>
      <c r="D165" s="10"/>
      <c r="E165" s="16"/>
      <c r="F165" s="10"/>
      <c r="G165" s="26"/>
      <c r="H165" s="10"/>
      <c r="I165" s="10"/>
      <c r="J165" s="10"/>
    </row>
    <row r="166" ht="20" customHeight="1" spans="1:10" x14ac:dyDescent="0.25">
      <c r="A166" s="10"/>
      <c r="B166" s="22"/>
      <c r="C166" s="10"/>
      <c r="D166" s="10"/>
      <c r="E166" s="16"/>
      <c r="F166" s="10"/>
      <c r="G166" s="26"/>
      <c r="H166" s="10"/>
      <c r="I166" s="10"/>
      <c r="J166" s="10"/>
    </row>
    <row r="167" ht="20" customHeight="1" spans="1:10" x14ac:dyDescent="0.25">
      <c r="A167" s="10"/>
      <c r="B167" s="22"/>
      <c r="C167" s="10"/>
      <c r="D167" s="10"/>
      <c r="E167" s="16"/>
      <c r="F167" s="10"/>
      <c r="G167" s="26"/>
      <c r="H167" s="10"/>
      <c r="I167" s="10"/>
      <c r="J167" s="10"/>
    </row>
    <row r="168" ht="20" customHeight="1" spans="1:10" x14ac:dyDescent="0.25">
      <c r="A168" s="10"/>
      <c r="B168" s="22"/>
      <c r="C168" s="10"/>
      <c r="D168" s="10"/>
      <c r="E168" s="16"/>
      <c r="F168" s="10"/>
      <c r="G168" s="26"/>
      <c r="H168" s="10"/>
      <c r="I168" s="10"/>
      <c r="J168" s="10"/>
    </row>
    <row r="169" ht="20" customHeight="1" spans="1:10" x14ac:dyDescent="0.25">
      <c r="A169" s="10"/>
      <c r="B169" s="22"/>
      <c r="C169" s="10"/>
      <c r="D169" s="10"/>
      <c r="E169" s="16"/>
      <c r="F169" s="10"/>
      <c r="G169" s="26"/>
      <c r="H169" s="10"/>
      <c r="I169" s="10"/>
      <c r="J169" s="10"/>
    </row>
    <row r="170" ht="20" customHeight="1" spans="1:10" x14ac:dyDescent="0.25">
      <c r="A170" s="10"/>
      <c r="B170" s="22"/>
      <c r="C170" s="10"/>
      <c r="D170" s="10"/>
      <c r="E170" s="16"/>
      <c r="F170" s="10"/>
      <c r="G170" s="26"/>
      <c r="H170" s="10"/>
      <c r="I170" s="10"/>
      <c r="J170" s="10"/>
    </row>
    <row r="171" ht="20" customHeight="1" spans="1:10" x14ac:dyDescent="0.25">
      <c r="A171" s="10"/>
      <c r="B171" s="22"/>
      <c r="C171" s="10"/>
      <c r="D171" s="10"/>
      <c r="E171" s="16"/>
      <c r="F171" s="10"/>
      <c r="G171" s="26"/>
      <c r="H171" s="10"/>
      <c r="I171" s="10"/>
      <c r="J171" s="10"/>
    </row>
    <row r="172" ht="20" customHeight="1" spans="1:10" x14ac:dyDescent="0.25">
      <c r="A172" s="10"/>
      <c r="B172" s="22"/>
      <c r="C172" s="10"/>
      <c r="D172" s="10"/>
      <c r="E172" s="16"/>
      <c r="F172" s="10"/>
      <c r="G172" s="26"/>
      <c r="H172" s="10"/>
      <c r="I172" s="10"/>
      <c r="J172" s="10"/>
    </row>
    <row r="173" ht="20" customHeight="1" spans="1:10" x14ac:dyDescent="0.25">
      <c r="A173" s="10"/>
      <c r="B173" s="22"/>
      <c r="C173" s="10"/>
      <c r="D173" s="10"/>
      <c r="E173" s="16"/>
      <c r="F173" s="10"/>
      <c r="G173" s="26"/>
      <c r="H173" s="10"/>
      <c r="I173" s="10"/>
      <c r="J173" s="10"/>
    </row>
    <row r="174" ht="20" customHeight="1" spans="1:10" x14ac:dyDescent="0.25">
      <c r="A174" s="10"/>
      <c r="B174" s="22"/>
      <c r="C174" s="10"/>
      <c r="D174" s="10"/>
      <c r="E174" s="16"/>
      <c r="F174" s="10"/>
      <c r="G174" s="26"/>
      <c r="H174" s="10"/>
      <c r="I174" s="10"/>
      <c r="J174" s="10"/>
    </row>
    <row r="175" ht="20" customHeight="1" spans="1:10" x14ac:dyDescent="0.25">
      <c r="A175" s="10"/>
      <c r="B175" s="22"/>
      <c r="C175" s="10"/>
      <c r="D175" s="10"/>
      <c r="E175" s="16"/>
      <c r="F175" s="10"/>
      <c r="G175" s="26"/>
      <c r="H175" s="10"/>
      <c r="I175" s="10"/>
      <c r="J175" s="10"/>
    </row>
    <row r="176" ht="20" customHeight="1" spans="1:10" x14ac:dyDescent="0.25">
      <c r="A176" s="10"/>
      <c r="B176" s="22"/>
      <c r="C176" s="10"/>
      <c r="D176" s="10"/>
      <c r="E176" s="16"/>
      <c r="F176" s="10"/>
      <c r="G176" s="26"/>
      <c r="H176" s="10"/>
      <c r="I176" s="10"/>
      <c r="J176" s="10"/>
    </row>
    <row r="177" ht="20" customHeight="1" spans="1:10" x14ac:dyDescent="0.25">
      <c r="A177" s="10"/>
      <c r="B177" s="22"/>
      <c r="C177" s="10"/>
      <c r="D177" s="10"/>
      <c r="E177" s="16"/>
      <c r="F177" s="10"/>
      <c r="G177" s="26"/>
      <c r="H177" s="10"/>
      <c r="I177" s="10"/>
      <c r="J177" s="10"/>
    </row>
    <row r="178" ht="20" customHeight="1" spans="1:10" x14ac:dyDescent="0.25">
      <c r="A178" s="10"/>
      <c r="B178" s="22"/>
      <c r="C178" s="10"/>
      <c r="D178" s="10"/>
      <c r="E178" s="16"/>
      <c r="F178" s="10"/>
      <c r="G178" s="26"/>
      <c r="H178" s="10"/>
      <c r="I178" s="10"/>
      <c r="J178" s="10"/>
    </row>
    <row r="179" ht="20" customHeight="1" spans="1:10" x14ac:dyDescent="0.25">
      <c r="A179" s="10"/>
      <c r="B179" s="22"/>
      <c r="C179" s="10"/>
      <c r="D179" s="10"/>
      <c r="E179" s="16"/>
      <c r="F179" s="10"/>
      <c r="G179" s="26"/>
      <c r="H179" s="10"/>
      <c r="I179" s="10"/>
      <c r="J179" s="10"/>
    </row>
    <row r="180" ht="20" customHeight="1" spans="1:10" x14ac:dyDescent="0.25">
      <c r="A180" s="10"/>
      <c r="B180" s="22"/>
      <c r="C180" s="10"/>
      <c r="D180" s="10"/>
      <c r="E180" s="16"/>
      <c r="F180" s="10"/>
      <c r="G180" s="26"/>
      <c r="H180" s="10"/>
      <c r="I180" s="10"/>
      <c r="J180" s="10"/>
    </row>
    <row r="181" ht="20" customHeight="1" spans="1:10" x14ac:dyDescent="0.25">
      <c r="A181" s="10"/>
      <c r="B181" s="22"/>
      <c r="C181" s="10"/>
      <c r="D181" s="10"/>
      <c r="E181" s="16"/>
      <c r="F181" s="10"/>
      <c r="G181" s="26"/>
      <c r="H181" s="10"/>
      <c r="I181" s="10"/>
      <c r="J181" s="10"/>
    </row>
    <row r="182" ht="20" customHeight="1" spans="1:10" x14ac:dyDescent="0.25">
      <c r="A182" s="10"/>
      <c r="B182" s="22"/>
      <c r="C182" s="10"/>
      <c r="D182" s="10"/>
      <c r="E182" s="16"/>
      <c r="F182" s="10"/>
      <c r="G182" s="26"/>
      <c r="H182" s="10"/>
      <c r="I182" s="10"/>
      <c r="J182" s="10"/>
    </row>
    <row r="183" ht="20" customHeight="1" spans="1:10" x14ac:dyDescent="0.25">
      <c r="A183" s="10"/>
      <c r="B183" s="22"/>
      <c r="C183" s="10"/>
      <c r="D183" s="10"/>
      <c r="E183" s="16"/>
      <c r="F183" s="10"/>
      <c r="G183" s="26"/>
      <c r="H183" s="10"/>
      <c r="I183" s="10"/>
      <c r="J183" s="10"/>
    </row>
    <row r="184" ht="20" customHeight="1" spans="1:10" x14ac:dyDescent="0.25">
      <c r="A184" s="10"/>
      <c r="B184" s="22"/>
      <c r="C184" s="10"/>
      <c r="D184" s="10"/>
      <c r="E184" s="16"/>
      <c r="F184" s="10"/>
      <c r="G184" s="26"/>
      <c r="H184" s="10"/>
      <c r="I184" s="10"/>
      <c r="J184" s="10"/>
    </row>
    <row r="185" ht="20" customHeight="1" spans="1:10" x14ac:dyDescent="0.25">
      <c r="A185" s="10"/>
      <c r="B185" s="22"/>
      <c r="C185" s="10"/>
      <c r="D185" s="10"/>
      <c r="E185" s="16"/>
      <c r="F185" s="10"/>
      <c r="G185" s="26"/>
      <c r="H185" s="10"/>
      <c r="I185" s="10"/>
      <c r="J185" s="10"/>
    </row>
    <row r="186" ht="20" customHeight="1" spans="1:10" x14ac:dyDescent="0.25">
      <c r="A186" s="10"/>
      <c r="B186" s="22"/>
      <c r="C186" s="10"/>
      <c r="D186" s="10"/>
      <c r="E186" s="16"/>
      <c r="F186" s="10"/>
      <c r="G186" s="26"/>
      <c r="H186" s="10"/>
      <c r="I186" s="10"/>
      <c r="J186" s="10"/>
    </row>
    <row r="187" ht="20" customHeight="1" spans="1:10" x14ac:dyDescent="0.25">
      <c r="A187" s="10"/>
      <c r="B187" s="22"/>
      <c r="C187" s="10"/>
      <c r="D187" s="10"/>
      <c r="E187" s="16"/>
      <c r="F187" s="10"/>
      <c r="G187" s="26"/>
      <c r="H187" s="10"/>
      <c r="I187" s="10"/>
      <c r="J187" s="10"/>
    </row>
    <row r="188" ht="20" customHeight="1" spans="1:10" x14ac:dyDescent="0.25">
      <c r="A188" s="10"/>
      <c r="B188" s="22"/>
      <c r="C188" s="10"/>
      <c r="D188" s="10"/>
      <c r="E188" s="16"/>
      <c r="F188" s="10"/>
      <c r="G188" s="26"/>
      <c r="H188" s="10"/>
      <c r="I188" s="10"/>
      <c r="J188" s="10"/>
    </row>
    <row r="189" ht="20" customHeight="1" spans="1:10" x14ac:dyDescent="0.25">
      <c r="A189" s="10"/>
      <c r="B189" s="22"/>
      <c r="C189" s="10"/>
      <c r="D189" s="10"/>
      <c r="E189" s="16"/>
      <c r="F189" s="10"/>
      <c r="G189" s="26"/>
      <c r="H189" s="10"/>
      <c r="I189" s="10"/>
      <c r="J189" s="10"/>
    </row>
    <row r="190" ht="20" customHeight="1" spans="1:10" x14ac:dyDescent="0.25">
      <c r="A190" s="10"/>
      <c r="B190" s="22"/>
      <c r="C190" s="10"/>
      <c r="D190" s="10"/>
      <c r="E190" s="16"/>
      <c r="F190" s="10"/>
      <c r="G190" s="26"/>
      <c r="H190" s="10"/>
      <c r="I190" s="10"/>
      <c r="J190" s="10"/>
    </row>
    <row r="191" ht="20" customHeight="1" spans="1:10" x14ac:dyDescent="0.25">
      <c r="A191" s="10"/>
      <c r="B191" s="22"/>
      <c r="C191" s="10"/>
      <c r="D191" s="10"/>
      <c r="E191" s="16"/>
      <c r="F191" s="10"/>
      <c r="G191" s="26"/>
      <c r="H191" s="10"/>
      <c r="I191" s="10"/>
      <c r="J191" s="10"/>
    </row>
    <row r="192" ht="20" customHeight="1" spans="1:10" x14ac:dyDescent="0.25">
      <c r="A192" s="10"/>
      <c r="B192" s="22"/>
      <c r="C192" s="10"/>
      <c r="D192" s="10"/>
      <c r="E192" s="16"/>
      <c r="F192" s="10"/>
      <c r="G192" s="26"/>
      <c r="H192" s="10"/>
      <c r="I192" s="10"/>
      <c r="J192" s="10"/>
    </row>
    <row r="193" ht="20" customHeight="1" spans="1:10" x14ac:dyDescent="0.25">
      <c r="A193" s="10"/>
      <c r="B193" s="22"/>
      <c r="C193" s="10"/>
      <c r="D193" s="10"/>
      <c r="E193" s="16"/>
      <c r="F193" s="10"/>
      <c r="G193" s="26"/>
      <c r="H193" s="10"/>
      <c r="I193" s="10"/>
      <c r="J193" s="10"/>
    </row>
    <row r="194" ht="20" customHeight="1" spans="1:10" x14ac:dyDescent="0.25">
      <c r="A194" s="10"/>
      <c r="B194" s="22"/>
      <c r="C194" s="10"/>
      <c r="D194" s="10"/>
      <c r="E194" s="16"/>
      <c r="F194" s="10"/>
      <c r="G194" s="26"/>
      <c r="H194" s="10"/>
      <c r="I194" s="10"/>
      <c r="J194" s="10"/>
    </row>
    <row r="195" ht="20" customHeight="1" spans="1:10" x14ac:dyDescent="0.25">
      <c r="A195" s="10"/>
      <c r="B195" s="22"/>
      <c r="C195" s="10"/>
      <c r="D195" s="10"/>
      <c r="E195" s="16"/>
      <c r="F195" s="10"/>
      <c r="G195" s="26"/>
      <c r="H195" s="10"/>
      <c r="I195" s="10"/>
      <c r="J195" s="10"/>
    </row>
    <row r="196" ht="20" customHeight="1" spans="1:10" x14ac:dyDescent="0.25">
      <c r="A196" s="10"/>
      <c r="B196" s="22"/>
      <c r="C196" s="10"/>
      <c r="D196" s="10"/>
      <c r="E196" s="16"/>
      <c r="F196" s="10"/>
      <c r="G196" s="26"/>
      <c r="H196" s="10"/>
      <c r="I196" s="10"/>
      <c r="J196" s="10"/>
    </row>
    <row r="197" ht="20" customHeight="1" spans="1:10" x14ac:dyDescent="0.25">
      <c r="A197" s="10"/>
      <c r="B197" s="22"/>
      <c r="C197" s="10"/>
      <c r="D197" s="10"/>
      <c r="E197" s="16"/>
      <c r="F197" s="10"/>
      <c r="G197" s="26"/>
      <c r="H197" s="10"/>
      <c r="I197" s="10"/>
      <c r="J197" s="10"/>
    </row>
    <row r="198" ht="20" customHeight="1" spans="1:10" x14ac:dyDescent="0.25">
      <c r="A198" s="10"/>
      <c r="B198" s="22"/>
      <c r="C198" s="10"/>
      <c r="D198" s="10"/>
      <c r="E198" s="16"/>
      <c r="F198" s="10"/>
      <c r="G198" s="26"/>
      <c r="H198" s="10"/>
      <c r="I198" s="10"/>
      <c r="J198" s="10"/>
    </row>
    <row r="199" ht="20" customHeight="1" spans="1:10" x14ac:dyDescent="0.25">
      <c r="A199" s="10"/>
      <c r="B199" s="22"/>
      <c r="C199" s="10"/>
      <c r="D199" s="10"/>
      <c r="E199" s="16"/>
      <c r="F199" s="10"/>
      <c r="G199" s="26"/>
      <c r="H199" s="10"/>
      <c r="I199" s="10"/>
      <c r="J199" s="10"/>
    </row>
    <row r="200" ht="20" customHeight="1" spans="1:10" x14ac:dyDescent="0.25">
      <c r="A200" s="10"/>
      <c r="B200" s="22"/>
      <c r="C200" s="10"/>
      <c r="D200" s="10"/>
      <c r="E200" s="16"/>
      <c r="F200" s="10"/>
      <c r="G200" s="26"/>
      <c r="H200" s="10"/>
      <c r="I200" s="10"/>
      <c r="J200" s="10"/>
    </row>
    <row r="201" ht="20" customHeight="1" spans="1:10" x14ac:dyDescent="0.25">
      <c r="A201" s="10"/>
      <c r="B201" s="22"/>
      <c r="C201" s="10"/>
      <c r="D201" s="10"/>
      <c r="E201" s="16"/>
      <c r="F201" s="10"/>
      <c r="G201" s="26"/>
      <c r="H201" s="10"/>
      <c r="I201" s="10"/>
      <c r="J201" s="10"/>
    </row>
    <row r="202" ht="20" customHeight="1" spans="1:10" x14ac:dyDescent="0.25">
      <c r="A202" s="10"/>
      <c r="B202" s="22"/>
      <c r="C202" s="10"/>
      <c r="D202" s="10"/>
      <c r="E202" s="16"/>
      <c r="F202" s="10"/>
      <c r="G202" s="26"/>
      <c r="H202" s="10"/>
      <c r="I202" s="10"/>
      <c r="J202" s="10"/>
    </row>
    <row r="203" ht="20" customHeight="1" spans="1:10" x14ac:dyDescent="0.25">
      <c r="A203" s="10"/>
      <c r="B203" s="22"/>
      <c r="C203" s="10"/>
      <c r="D203" s="10"/>
      <c r="E203" s="16"/>
      <c r="F203" s="10"/>
      <c r="G203" s="26"/>
      <c r="H203" s="10"/>
      <c r="I203" s="10"/>
      <c r="J203" s="10"/>
    </row>
    <row r="204" ht="20" customHeight="1" spans="1:10" x14ac:dyDescent="0.25">
      <c r="A204" s="10"/>
      <c r="B204" s="22"/>
      <c r="C204" s="10"/>
      <c r="D204" s="10"/>
      <c r="E204" s="16"/>
      <c r="F204" s="10"/>
      <c r="G204" s="26"/>
      <c r="H204" s="10"/>
      <c r="I204" s="10"/>
      <c r="J204" s="10"/>
    </row>
    <row r="205" ht="20" customHeight="1" spans="1:10" x14ac:dyDescent="0.25">
      <c r="A205" s="10"/>
      <c r="B205" s="22"/>
      <c r="C205" s="10"/>
      <c r="D205" s="10"/>
      <c r="E205" s="16"/>
      <c r="F205" s="10"/>
      <c r="G205" s="26"/>
      <c r="H205" s="10"/>
      <c r="I205" s="10"/>
      <c r="J205" s="10"/>
    </row>
    <row r="206" ht="20" customHeight="1" spans="1:10" x14ac:dyDescent="0.25">
      <c r="A206" s="10"/>
      <c r="B206" s="22"/>
      <c r="C206" s="10"/>
      <c r="D206" s="10"/>
      <c r="E206" s="16"/>
      <c r="F206" s="10"/>
      <c r="G206" s="26"/>
      <c r="H206" s="10"/>
      <c r="I206" s="10"/>
      <c r="J206" s="10"/>
    </row>
    <row r="207" ht="20" customHeight="1" spans="1:10" x14ac:dyDescent="0.25">
      <c r="A207" s="10"/>
      <c r="B207" s="22"/>
      <c r="C207" s="10"/>
      <c r="D207" s="10"/>
      <c r="E207" s="16"/>
      <c r="F207" s="10"/>
      <c r="G207" s="26"/>
      <c r="H207" s="10"/>
      <c r="I207" s="10"/>
      <c r="J207" s="10"/>
    </row>
    <row r="208" ht="20" customHeight="1" spans="1:10" x14ac:dyDescent="0.25">
      <c r="A208" s="10"/>
      <c r="B208" s="22"/>
      <c r="C208" s="10"/>
      <c r="D208" s="10"/>
      <c r="E208" s="16"/>
      <c r="F208" s="10"/>
      <c r="G208" s="26"/>
      <c r="H208" s="10"/>
      <c r="I208" s="10"/>
      <c r="J208" s="10"/>
    </row>
    <row r="209" ht="20" customHeight="1" spans="1:10" x14ac:dyDescent="0.25">
      <c r="A209" s="10"/>
      <c r="B209" s="22"/>
      <c r="C209" s="10"/>
      <c r="D209" s="10"/>
      <c r="E209" s="16"/>
      <c r="F209" s="10"/>
      <c r="G209" s="26"/>
      <c r="H209" s="10"/>
      <c r="I209" s="10"/>
      <c r="J209" s="10"/>
    </row>
    <row r="210" ht="20" customHeight="1" spans="1:10" x14ac:dyDescent="0.25">
      <c r="A210" s="10"/>
      <c r="B210" s="22"/>
      <c r="C210" s="10"/>
      <c r="D210" s="10"/>
      <c r="E210" s="16"/>
      <c r="F210" s="10"/>
      <c r="G210" s="26"/>
      <c r="H210" s="10"/>
      <c r="I210" s="10"/>
      <c r="J210" s="10"/>
    </row>
    <row r="211" ht="20" customHeight="1" spans="1:10" x14ac:dyDescent="0.25">
      <c r="A211" s="10"/>
      <c r="B211" s="22"/>
      <c r="C211" s="10"/>
      <c r="D211" s="10"/>
      <c r="E211" s="16"/>
      <c r="F211" s="10"/>
      <c r="G211" s="26"/>
      <c r="H211" s="10"/>
      <c r="I211" s="10"/>
      <c r="J211" s="10"/>
    </row>
    <row r="212" ht="20" customHeight="1" spans="1:10" x14ac:dyDescent="0.25">
      <c r="A212" s="10"/>
      <c r="B212" s="22"/>
      <c r="C212" s="10"/>
      <c r="D212" s="10"/>
      <c r="E212" s="16"/>
      <c r="F212" s="10"/>
      <c r="G212" s="26"/>
      <c r="H212" s="10"/>
      <c r="I212" s="10"/>
      <c r="J212" s="10"/>
    </row>
    <row r="213" ht="20" customHeight="1" spans="1:10" x14ac:dyDescent="0.25">
      <c r="A213" s="10"/>
      <c r="B213" s="22"/>
      <c r="C213" s="10"/>
      <c r="D213" s="10"/>
      <c r="E213" s="16"/>
      <c r="F213" s="10"/>
      <c r="G213" s="26"/>
      <c r="H213" s="10"/>
      <c r="I213" s="10"/>
      <c r="J213" s="10"/>
    </row>
    <row r="214" ht="20" customHeight="1" spans="1:10" x14ac:dyDescent="0.25">
      <c r="A214" s="10"/>
      <c r="B214" s="22"/>
      <c r="C214" s="10"/>
      <c r="D214" s="10"/>
      <c r="E214" s="16"/>
      <c r="F214" s="10"/>
      <c r="G214" s="26"/>
      <c r="H214" s="10"/>
      <c r="I214" s="10"/>
      <c r="J214" s="10"/>
    </row>
    <row r="215" ht="20" customHeight="1" spans="1:10" x14ac:dyDescent="0.25">
      <c r="A215" s="10"/>
      <c r="B215" s="22"/>
      <c r="C215" s="10"/>
      <c r="D215" s="10"/>
      <c r="E215" s="16"/>
      <c r="F215" s="10"/>
      <c r="G215" s="26"/>
      <c r="H215" s="10"/>
      <c r="I215" s="10"/>
      <c r="J215" s="10"/>
    </row>
    <row r="216" ht="20" customHeight="1" spans="1:10" x14ac:dyDescent="0.25">
      <c r="A216" s="10"/>
      <c r="B216" s="22"/>
      <c r="C216" s="10"/>
      <c r="D216" s="10"/>
      <c r="E216" s="16"/>
      <c r="F216" s="10"/>
      <c r="G216" s="26"/>
      <c r="H216" s="10"/>
      <c r="I216" s="10"/>
      <c r="J216" s="10"/>
    </row>
    <row r="217" ht="20" customHeight="1" spans="1:10" x14ac:dyDescent="0.25">
      <c r="A217" s="10"/>
      <c r="B217" s="22"/>
      <c r="C217" s="10"/>
      <c r="D217" s="10"/>
      <c r="E217" s="16"/>
      <c r="F217" s="10"/>
      <c r="G217" s="26"/>
      <c r="H217" s="10"/>
      <c r="I217" s="10"/>
      <c r="J217" s="10"/>
    </row>
    <row r="218" ht="20" customHeight="1" spans="1:10" x14ac:dyDescent="0.25">
      <c r="A218" s="10"/>
      <c r="B218" s="22"/>
      <c r="C218" s="10"/>
      <c r="D218" s="10"/>
      <c r="E218" s="16"/>
      <c r="F218" s="10"/>
      <c r="G218" s="26"/>
      <c r="H218" s="10"/>
      <c r="I218" s="10"/>
      <c r="J218" s="10"/>
    </row>
    <row r="219" ht="20" customHeight="1" spans="1:10" x14ac:dyDescent="0.25">
      <c r="A219" s="10"/>
      <c r="B219" s="22"/>
      <c r="C219" s="10"/>
      <c r="D219" s="10"/>
      <c r="E219" s="16"/>
      <c r="F219" s="10"/>
      <c r="G219" s="26"/>
      <c r="H219" s="10"/>
      <c r="I219" s="10"/>
      <c r="J219" s="10"/>
    </row>
    <row r="220" ht="20" customHeight="1" spans="1:10" x14ac:dyDescent="0.25">
      <c r="A220" s="10"/>
      <c r="B220" s="22"/>
      <c r="C220" s="10"/>
      <c r="D220" s="10"/>
      <c r="E220" s="16"/>
      <c r="F220" s="10"/>
      <c r="G220" s="26"/>
      <c r="H220" s="10"/>
      <c r="I220" s="10"/>
      <c r="J220" s="10"/>
    </row>
    <row r="221" ht="20" customHeight="1" spans="1:10" x14ac:dyDescent="0.25">
      <c r="A221" s="10"/>
      <c r="B221" s="22"/>
      <c r="C221" s="10"/>
      <c r="D221" s="10"/>
      <c r="E221" s="16"/>
      <c r="F221" s="10"/>
      <c r="G221" s="26"/>
      <c r="H221" s="10"/>
      <c r="I221" s="10"/>
      <c r="J221" s="10"/>
    </row>
    <row r="222" ht="20" customHeight="1" spans="1:10" x14ac:dyDescent="0.25">
      <c r="A222" s="10"/>
      <c r="B222" s="22"/>
      <c r="C222" s="10"/>
      <c r="D222" s="10"/>
      <c r="E222" s="16"/>
      <c r="F222" s="10"/>
      <c r="G222" s="26"/>
      <c r="H222" s="10"/>
      <c r="I222" s="10"/>
      <c r="J222" s="10"/>
    </row>
    <row r="223" ht="20" customHeight="1" spans="1:10" x14ac:dyDescent="0.25">
      <c r="A223" s="10"/>
      <c r="B223" s="22"/>
      <c r="C223" s="10"/>
      <c r="D223" s="10"/>
      <c r="E223" s="16"/>
      <c r="F223" s="10"/>
      <c r="G223" s="26"/>
      <c r="H223" s="10"/>
      <c r="I223" s="10"/>
      <c r="J223" s="10"/>
    </row>
    <row r="224" ht="20" customHeight="1" spans="1:10" x14ac:dyDescent="0.25">
      <c r="A224" s="10"/>
      <c r="B224" s="22"/>
      <c r="C224" s="10"/>
      <c r="D224" s="10"/>
      <c r="E224" s="16"/>
      <c r="F224" s="10"/>
      <c r="G224" s="26"/>
      <c r="H224" s="10"/>
      <c r="I224" s="10"/>
      <c r="J224" s="10"/>
    </row>
    <row r="225" ht="20" customHeight="1" spans="1:10" x14ac:dyDescent="0.25">
      <c r="A225" s="10"/>
      <c r="B225" s="22"/>
      <c r="C225" s="10"/>
      <c r="D225" s="10"/>
      <c r="E225" s="16"/>
      <c r="F225" s="10"/>
      <c r="G225" s="26"/>
      <c r="H225" s="10"/>
      <c r="I225" s="10"/>
      <c r="J225" s="10"/>
    </row>
    <row r="226" ht="20" customHeight="1" spans="1:10" x14ac:dyDescent="0.25">
      <c r="A226" s="10"/>
      <c r="B226" s="22"/>
      <c r="C226" s="10"/>
      <c r="D226" s="10"/>
      <c r="E226" s="16"/>
      <c r="F226" s="10"/>
      <c r="G226" s="26"/>
      <c r="H226" s="10"/>
      <c r="I226" s="10"/>
      <c r="J226" s="10"/>
    </row>
    <row r="227" ht="20" customHeight="1" spans="1:10" x14ac:dyDescent="0.25">
      <c r="A227" s="10"/>
      <c r="B227" s="22"/>
      <c r="C227" s="10"/>
      <c r="D227" s="10"/>
      <c r="E227" s="16"/>
      <c r="F227" s="10"/>
      <c r="G227" s="26"/>
      <c r="H227" s="10"/>
      <c r="I227" s="10"/>
      <c r="J227" s="10"/>
    </row>
    <row r="228" ht="20" customHeight="1" spans="1:10" x14ac:dyDescent="0.25">
      <c r="A228" s="10"/>
      <c r="B228" s="22"/>
      <c r="C228" s="10"/>
      <c r="D228" s="10"/>
      <c r="E228" s="16"/>
      <c r="F228" s="10"/>
      <c r="G228" s="26"/>
      <c r="H228" s="10"/>
      <c r="I228" s="10"/>
      <c r="J228" s="10"/>
    </row>
    <row r="229" ht="20" customHeight="1" spans="1:10" x14ac:dyDescent="0.25">
      <c r="A229" s="10"/>
      <c r="B229" s="22"/>
      <c r="C229" s="10"/>
      <c r="D229" s="10"/>
      <c r="E229" s="16"/>
      <c r="F229" s="10"/>
      <c r="G229" s="26"/>
      <c r="H229" s="10"/>
      <c r="I229" s="10"/>
      <c r="J229" s="10"/>
    </row>
    <row r="230" ht="20" customHeight="1" spans="1:10" x14ac:dyDescent="0.25">
      <c r="A230" s="10"/>
      <c r="B230" s="22"/>
      <c r="C230" s="10"/>
      <c r="D230" s="10"/>
      <c r="E230" s="16"/>
      <c r="F230" s="10"/>
      <c r="G230" s="26"/>
      <c r="H230" s="10"/>
      <c r="I230" s="10"/>
      <c r="J230" s="10"/>
    </row>
    <row r="231" ht="20" customHeight="1" spans="1:10" x14ac:dyDescent="0.25">
      <c r="A231" s="10"/>
      <c r="B231" s="22"/>
      <c r="C231" s="10"/>
      <c r="D231" s="10"/>
      <c r="E231" s="16"/>
      <c r="F231" s="10"/>
      <c r="G231" s="26"/>
      <c r="H231" s="10"/>
      <c r="I231" s="10"/>
      <c r="J231" s="10"/>
    </row>
    <row r="232" ht="20" customHeight="1" spans="1:10" x14ac:dyDescent="0.25">
      <c r="A232" s="10"/>
      <c r="B232" s="22"/>
      <c r="C232" s="10"/>
      <c r="D232" s="10"/>
      <c r="E232" s="16"/>
      <c r="F232" s="10"/>
      <c r="G232" s="26"/>
      <c r="H232" s="10"/>
      <c r="I232" s="10"/>
      <c r="J232" s="10"/>
    </row>
    <row r="233" ht="20" customHeight="1" spans="1:10" x14ac:dyDescent="0.25">
      <c r="A233" s="10"/>
      <c r="B233" s="22"/>
      <c r="C233" s="10"/>
      <c r="D233" s="10"/>
      <c r="E233" s="16"/>
      <c r="F233" s="10"/>
      <c r="G233" s="26"/>
      <c r="H233" s="10"/>
      <c r="I233" s="10"/>
      <c r="J233" s="10"/>
    </row>
    <row r="234" ht="20" customHeight="1" spans="1:10" x14ac:dyDescent="0.25">
      <c r="A234" s="10"/>
      <c r="B234" s="22"/>
      <c r="C234" s="10"/>
      <c r="D234" s="10"/>
      <c r="E234" s="16"/>
      <c r="F234" s="10"/>
      <c r="G234" s="26"/>
      <c r="H234" s="10"/>
      <c r="I234" s="10"/>
      <c r="J234" s="10"/>
    </row>
    <row r="235" ht="20" customHeight="1" spans="1:10" x14ac:dyDescent="0.25">
      <c r="A235" s="10"/>
      <c r="B235" s="22"/>
      <c r="C235" s="10"/>
      <c r="D235" s="10"/>
      <c r="E235" s="16"/>
      <c r="F235" s="10"/>
      <c r="G235" s="26"/>
      <c r="H235" s="10"/>
      <c r="I235" s="10"/>
      <c r="J235" s="10"/>
    </row>
    <row r="236" ht="20" customHeight="1" spans="1:10" x14ac:dyDescent="0.25">
      <c r="A236" s="10"/>
      <c r="B236" s="22"/>
      <c r="C236" s="10"/>
      <c r="D236" s="10"/>
      <c r="E236" s="16"/>
      <c r="F236" s="10"/>
      <c r="G236" s="26"/>
      <c r="H236" s="10"/>
      <c r="I236" s="10"/>
      <c r="J236" s="10"/>
    </row>
    <row r="237" ht="20" customHeight="1" spans="1:10" x14ac:dyDescent="0.25">
      <c r="A237" s="10"/>
      <c r="B237" s="22"/>
      <c r="C237" s="10"/>
      <c r="D237" s="10"/>
      <c r="E237" s="16"/>
      <c r="F237" s="10"/>
      <c r="G237" s="26"/>
      <c r="H237" s="10"/>
      <c r="I237" s="10"/>
      <c r="J237" s="10"/>
    </row>
    <row r="238" ht="20" customHeight="1" spans="1:10" x14ac:dyDescent="0.25">
      <c r="A238" s="10"/>
      <c r="B238" s="22"/>
      <c r="C238" s="10"/>
      <c r="D238" s="10"/>
      <c r="E238" s="16"/>
      <c r="F238" s="10"/>
      <c r="G238" s="26"/>
      <c r="H238" s="10"/>
      <c r="I238" s="10"/>
      <c r="J238" s="10"/>
    </row>
    <row r="239" ht="20" customHeight="1" spans="1:10" x14ac:dyDescent="0.25">
      <c r="A239" s="10"/>
      <c r="B239" s="22"/>
      <c r="C239" s="10"/>
      <c r="D239" s="10"/>
      <c r="E239" s="16"/>
      <c r="F239" s="10"/>
      <c r="G239" s="26"/>
      <c r="H239" s="10"/>
      <c r="I239" s="10"/>
      <c r="J239" s="10"/>
    </row>
    <row r="240" ht="20" customHeight="1" spans="1:10" x14ac:dyDescent="0.25">
      <c r="A240" s="10"/>
      <c r="B240" s="22"/>
      <c r="C240" s="10"/>
      <c r="D240" s="10"/>
      <c r="E240" s="16"/>
      <c r="F240" s="10"/>
      <c r="G240" s="26"/>
      <c r="H240" s="10"/>
      <c r="I240" s="10"/>
      <c r="J240" s="10"/>
    </row>
    <row r="241" ht="20" customHeight="1" spans="1:10" x14ac:dyDescent="0.25">
      <c r="A241" s="10"/>
      <c r="B241" s="22"/>
      <c r="C241" s="10"/>
      <c r="D241" s="10"/>
      <c r="E241" s="16"/>
      <c r="F241" s="10"/>
      <c r="G241" s="26"/>
      <c r="H241" s="10"/>
      <c r="I241" s="10"/>
      <c r="J241" s="10"/>
    </row>
    <row r="242" ht="20" customHeight="1" spans="1:10" x14ac:dyDescent="0.25">
      <c r="A242" s="10"/>
      <c r="B242" s="22"/>
      <c r="C242" s="10"/>
      <c r="D242" s="10"/>
      <c r="E242" s="16"/>
      <c r="F242" s="10"/>
      <c r="G242" s="26"/>
      <c r="H242" s="10"/>
      <c r="I242" s="10"/>
      <c r="J242" s="10"/>
    </row>
    <row r="243" ht="20" customHeight="1" spans="1:10" x14ac:dyDescent="0.25">
      <c r="A243" s="10"/>
      <c r="B243" s="22"/>
      <c r="C243" s="10"/>
      <c r="D243" s="10"/>
      <c r="E243" s="16"/>
      <c r="F243" s="10"/>
      <c r="G243" s="26"/>
      <c r="H243" s="10"/>
      <c r="I243" s="10"/>
      <c r="J243" s="10"/>
    </row>
    <row r="244" ht="20" customHeight="1" spans="1:10" x14ac:dyDescent="0.25">
      <c r="A244" s="10"/>
      <c r="B244" s="22"/>
      <c r="C244" s="10"/>
      <c r="D244" s="10"/>
      <c r="E244" s="16"/>
      <c r="F244" s="10"/>
      <c r="G244" s="26"/>
      <c r="H244" s="10"/>
      <c r="I244" s="10"/>
      <c r="J244" s="10"/>
    </row>
    <row r="245" ht="20" customHeight="1" spans="1:10" x14ac:dyDescent="0.25">
      <c r="A245" s="10"/>
      <c r="B245" s="22"/>
      <c r="C245" s="10"/>
      <c r="D245" s="10"/>
      <c r="E245" s="16"/>
      <c r="F245" s="10"/>
      <c r="G245" s="26"/>
      <c r="H245" s="10"/>
      <c r="I245" s="10"/>
      <c r="J245" s="10"/>
    </row>
    <row r="246" ht="20" customHeight="1" spans="1:10" x14ac:dyDescent="0.25">
      <c r="A246" s="10"/>
      <c r="B246" s="22"/>
      <c r="C246" s="10"/>
      <c r="D246" s="10"/>
      <c r="E246" s="16"/>
      <c r="F246" s="10"/>
      <c r="G246" s="26"/>
      <c r="H246" s="10"/>
      <c r="I246" s="10"/>
      <c r="J246" s="10"/>
    </row>
    <row r="247" ht="20" customHeight="1" spans="1:10" x14ac:dyDescent="0.25">
      <c r="A247" s="10"/>
      <c r="B247" s="22"/>
      <c r="C247" s="10"/>
      <c r="D247" s="10"/>
      <c r="E247" s="16"/>
      <c r="F247" s="10"/>
      <c r="G247" s="26"/>
      <c r="H247" s="10"/>
      <c r="I247" s="10"/>
      <c r="J247" s="10"/>
    </row>
    <row r="248" ht="20" customHeight="1" spans="1:10" x14ac:dyDescent="0.25">
      <c r="A248" s="10"/>
      <c r="B248" s="22"/>
      <c r="C248" s="10"/>
      <c r="D248" s="10"/>
      <c r="E248" s="16"/>
      <c r="F248" s="10"/>
      <c r="G248" s="26"/>
      <c r="H248" s="10"/>
      <c r="I248" s="10"/>
      <c r="J248" s="10"/>
    </row>
    <row r="249" ht="20" customHeight="1" spans="1:10" x14ac:dyDescent="0.25">
      <c r="A249" s="10"/>
      <c r="B249" s="22"/>
      <c r="C249" s="10"/>
      <c r="D249" s="10"/>
      <c r="E249" s="16"/>
      <c r="F249" s="10"/>
      <c r="G249" s="26"/>
      <c r="H249" s="10"/>
      <c r="I249" s="10"/>
      <c r="J249" s="10"/>
    </row>
    <row r="250" ht="20" customHeight="1" spans="1:10" x14ac:dyDescent="0.25">
      <c r="A250" s="10"/>
      <c r="B250" s="22"/>
      <c r="C250" s="10"/>
      <c r="D250" s="10"/>
      <c r="E250" s="16"/>
      <c r="F250" s="10"/>
      <c r="G250" s="26"/>
      <c r="H250" s="10"/>
      <c r="I250" s="10"/>
      <c r="J250" s="10"/>
    </row>
    <row r="251" ht="20" customHeight="1" spans="1:10" x14ac:dyDescent="0.25">
      <c r="A251" s="10"/>
      <c r="B251" s="22"/>
      <c r="C251" s="10"/>
      <c r="D251" s="10"/>
      <c r="E251" s="16"/>
      <c r="F251" s="10"/>
      <c r="G251" s="26"/>
      <c r="H251" s="10"/>
      <c r="I251" s="10"/>
      <c r="J251" s="10"/>
    </row>
    <row r="252" ht="20" customHeight="1" spans="1:10" x14ac:dyDescent="0.25">
      <c r="A252" s="10"/>
      <c r="B252" s="22"/>
      <c r="C252" s="10"/>
      <c r="D252" s="10"/>
      <c r="E252" s="16"/>
      <c r="F252" s="10"/>
      <c r="G252" s="26"/>
      <c r="H252" s="10"/>
      <c r="I252" s="10"/>
      <c r="J252" s="10"/>
    </row>
    <row r="253" ht="20" customHeight="1" spans="1:10" x14ac:dyDescent="0.25">
      <c r="A253" s="10"/>
      <c r="B253" s="22"/>
      <c r="C253" s="10"/>
      <c r="D253" s="10"/>
      <c r="E253" s="16"/>
      <c r="F253" s="10"/>
      <c r="G253" s="26"/>
      <c r="H253" s="10"/>
      <c r="I253" s="10"/>
      <c r="J253" s="10"/>
    </row>
    <row r="254" ht="20" customHeight="1" spans="1:10" x14ac:dyDescent="0.25">
      <c r="A254" s="10"/>
      <c r="B254" s="22"/>
      <c r="C254" s="10"/>
      <c r="D254" s="10"/>
      <c r="E254" s="16"/>
      <c r="F254" s="10"/>
      <c r="G254" s="26"/>
      <c r="H254" s="10"/>
      <c r="I254" s="10"/>
      <c r="J254" s="10"/>
    </row>
    <row r="255" ht="20" customHeight="1" spans="1:10" x14ac:dyDescent="0.25">
      <c r="A255" s="10"/>
      <c r="B255" s="22"/>
      <c r="C255" s="10"/>
      <c r="D255" s="10"/>
      <c r="E255" s="16"/>
      <c r="F255" s="10"/>
      <c r="G255" s="26"/>
      <c r="H255" s="10"/>
      <c r="I255" s="10"/>
      <c r="J255" s="10"/>
    </row>
    <row r="256" ht="20" customHeight="1" spans="1:10" x14ac:dyDescent="0.25">
      <c r="A256" s="10"/>
      <c r="B256" s="22"/>
      <c r="C256" s="10"/>
      <c r="D256" s="10"/>
      <c r="E256" s="16"/>
      <c r="F256" s="10"/>
      <c r="G256" s="26"/>
      <c r="H256" s="10"/>
      <c r="I256" s="10"/>
      <c r="J256" s="10"/>
    </row>
    <row r="257" ht="20" customHeight="1" spans="1:10" x14ac:dyDescent="0.25">
      <c r="A257" s="10"/>
      <c r="B257" s="22"/>
      <c r="C257" s="10"/>
      <c r="D257" s="10"/>
      <c r="E257" s="16"/>
      <c r="F257" s="10"/>
      <c r="G257" s="26"/>
      <c r="H257" s="10"/>
      <c r="I257" s="10"/>
      <c r="J257" s="10"/>
    </row>
    <row r="258" ht="20" customHeight="1" spans="1:10" x14ac:dyDescent="0.25">
      <c r="A258" s="10"/>
      <c r="B258" s="22"/>
      <c r="C258" s="10"/>
      <c r="D258" s="10"/>
      <c r="E258" s="16"/>
      <c r="F258" s="10"/>
      <c r="G258" s="26"/>
      <c r="H258" s="10"/>
      <c r="I258" s="10"/>
      <c r="J258" s="10"/>
    </row>
    <row r="259" ht="20" customHeight="1" spans="1:10" x14ac:dyDescent="0.25">
      <c r="A259" s="10"/>
      <c r="B259" s="22"/>
      <c r="C259" s="10"/>
      <c r="D259" s="10"/>
      <c r="E259" s="16"/>
      <c r="F259" s="10"/>
      <c r="G259" s="26"/>
      <c r="H259" s="10"/>
      <c r="I259" s="10"/>
      <c r="J259" s="10"/>
    </row>
    <row r="260" ht="20" customHeight="1" spans="1:10" x14ac:dyDescent="0.25">
      <c r="A260" s="10"/>
      <c r="B260" s="22"/>
      <c r="C260" s="10"/>
      <c r="D260" s="10"/>
      <c r="E260" s="16"/>
      <c r="F260" s="10"/>
      <c r="G260" s="26"/>
      <c r="H260" s="10"/>
      <c r="I260" s="10"/>
      <c r="J260" s="10"/>
    </row>
    <row r="261" ht="20" customHeight="1" spans="1:10" x14ac:dyDescent="0.25">
      <c r="A261" s="10"/>
      <c r="B261" s="22"/>
      <c r="C261" s="10"/>
      <c r="D261" s="10"/>
      <c r="E261" s="16"/>
      <c r="F261" s="10"/>
      <c r="G261" s="26"/>
      <c r="H261" s="10"/>
      <c r="I261" s="10"/>
      <c r="J261" s="10"/>
    </row>
    <row r="262" ht="20" customHeight="1" spans="1:10" x14ac:dyDescent="0.25">
      <c r="A262" s="10"/>
      <c r="B262" s="22"/>
      <c r="C262" s="10"/>
      <c r="D262" s="10"/>
      <c r="E262" s="16"/>
      <c r="F262" s="10"/>
      <c r="G262" s="26"/>
      <c r="H262" s="10"/>
      <c r="I262" s="10"/>
      <c r="J262" s="10"/>
    </row>
    <row r="263" ht="20" customHeight="1" spans="1:10" x14ac:dyDescent="0.25">
      <c r="A263" s="10"/>
      <c r="B263" s="22"/>
      <c r="C263" s="10"/>
      <c r="D263" s="10"/>
      <c r="E263" s="16"/>
      <c r="F263" s="10"/>
      <c r="G263" s="26"/>
      <c r="H263" s="10"/>
      <c r="I263" s="10"/>
      <c r="J263" s="10"/>
    </row>
    <row r="264" ht="20" customHeight="1" spans="1:10" x14ac:dyDescent="0.25">
      <c r="A264" s="10"/>
      <c r="B264" s="22"/>
      <c r="C264" s="10"/>
      <c r="D264" s="10"/>
      <c r="E264" s="16"/>
      <c r="F264" s="10"/>
      <c r="G264" s="26"/>
      <c r="H264" s="10"/>
      <c r="I264" s="10"/>
      <c r="J264" s="10"/>
    </row>
    <row r="265" ht="20" customHeight="1" spans="1:10" x14ac:dyDescent="0.25">
      <c r="A265" s="10"/>
      <c r="B265" s="22"/>
      <c r="C265" s="10"/>
      <c r="D265" s="10"/>
      <c r="E265" s="16"/>
      <c r="F265" s="10"/>
      <c r="G265" s="26"/>
      <c r="H265" s="10"/>
      <c r="I265" s="10"/>
      <c r="J265" s="10"/>
    </row>
    <row r="266" ht="20" customHeight="1" spans="1:10" x14ac:dyDescent="0.25">
      <c r="A266" s="10"/>
      <c r="B266" s="22"/>
      <c r="C266" s="10"/>
      <c r="D266" s="10"/>
      <c r="E266" s="16"/>
      <c r="F266" s="10"/>
      <c r="G266" s="26"/>
      <c r="H266" s="10"/>
      <c r="I266" s="10"/>
      <c r="J266" s="10"/>
    </row>
    <row r="267" ht="20" customHeight="1" spans="1:10" x14ac:dyDescent="0.25">
      <c r="A267" s="10"/>
      <c r="B267" s="22"/>
      <c r="C267" s="10"/>
      <c r="D267" s="10"/>
      <c r="E267" s="16"/>
      <c r="F267" s="10"/>
      <c r="G267" s="26"/>
      <c r="H267" s="10"/>
      <c r="I267" s="10"/>
      <c r="J267" s="10"/>
    </row>
    <row r="268" ht="20" customHeight="1" spans="1:10" x14ac:dyDescent="0.25">
      <c r="A268" s="10"/>
      <c r="B268" s="22"/>
      <c r="C268" s="10"/>
      <c r="D268" s="10"/>
      <c r="E268" s="16"/>
      <c r="F268" s="10"/>
      <c r="G268" s="26"/>
      <c r="H268" s="10"/>
      <c r="I268" s="10"/>
      <c r="J268" s="10"/>
    </row>
    <row r="269" ht="20" customHeight="1" spans="1:10" x14ac:dyDescent="0.25">
      <c r="A269" s="10"/>
      <c r="B269" s="22"/>
      <c r="C269" s="10"/>
      <c r="D269" s="10"/>
      <c r="E269" s="16"/>
      <c r="F269" s="10"/>
      <c r="G269" s="26"/>
      <c r="H269" s="10"/>
      <c r="I269" s="10"/>
      <c r="J269" s="10"/>
    </row>
    <row r="270" ht="20" customHeight="1" spans="1:10" x14ac:dyDescent="0.25">
      <c r="A270" s="10"/>
      <c r="B270" s="22"/>
      <c r="C270" s="10"/>
      <c r="D270" s="10"/>
      <c r="E270" s="16"/>
      <c r="F270" s="10"/>
      <c r="G270" s="26"/>
      <c r="H270" s="10"/>
      <c r="I270" s="10"/>
      <c r="J270" s="10"/>
    </row>
    <row r="271" ht="20" customHeight="1" spans="1:10" x14ac:dyDescent="0.25">
      <c r="A271" s="10"/>
      <c r="B271" s="22"/>
      <c r="C271" s="10"/>
      <c r="D271" s="10"/>
      <c r="E271" s="16"/>
      <c r="F271" s="10"/>
      <c r="G271" s="26"/>
      <c r="H271" s="10"/>
      <c r="I271" s="10"/>
      <c r="J271" s="10"/>
    </row>
    <row r="272" ht="20" customHeight="1" spans="1:10" x14ac:dyDescent="0.25">
      <c r="A272" s="10"/>
      <c r="B272" s="22"/>
      <c r="C272" s="10"/>
      <c r="D272" s="10"/>
      <c r="E272" s="16"/>
      <c r="F272" s="10"/>
      <c r="G272" s="26"/>
      <c r="H272" s="10"/>
      <c r="I272" s="10"/>
      <c r="J272" s="10"/>
    </row>
    <row r="273" ht="20" customHeight="1" spans="1:10" x14ac:dyDescent="0.25">
      <c r="A273" s="10"/>
      <c r="B273" s="22"/>
      <c r="C273" s="10"/>
      <c r="D273" s="10"/>
      <c r="E273" s="16"/>
      <c r="F273" s="10"/>
      <c r="G273" s="26"/>
      <c r="H273" s="10"/>
      <c r="I273" s="10"/>
      <c r="J273" s="10"/>
    </row>
    <row r="274" ht="20" customHeight="1" spans="1:10" x14ac:dyDescent="0.25">
      <c r="A274" s="10"/>
      <c r="B274" s="22"/>
      <c r="C274" s="10"/>
      <c r="D274" s="10"/>
      <c r="E274" s="16"/>
      <c r="F274" s="10"/>
      <c r="G274" s="26"/>
      <c r="H274" s="10"/>
      <c r="I274" s="10"/>
      <c r="J274" s="10"/>
    </row>
    <row r="275" ht="20" customHeight="1" spans="1:10" x14ac:dyDescent="0.25">
      <c r="A275" s="10"/>
      <c r="B275" s="22"/>
      <c r="C275" s="10"/>
      <c r="D275" s="10"/>
      <c r="E275" s="16"/>
      <c r="F275" s="10"/>
      <c r="G275" s="26"/>
      <c r="H275" s="10"/>
      <c r="I275" s="10"/>
      <c r="J275" s="10"/>
    </row>
    <row r="276" ht="20" customHeight="1" spans="1:10" x14ac:dyDescent="0.25">
      <c r="A276" s="10"/>
      <c r="B276" s="22"/>
      <c r="C276" s="10"/>
      <c r="D276" s="10"/>
      <c r="E276" s="16"/>
      <c r="F276" s="10"/>
      <c r="G276" s="26"/>
      <c r="H276" s="10"/>
      <c r="I276" s="10"/>
      <c r="J276" s="10"/>
    </row>
    <row r="277" ht="20" customHeight="1" spans="1:10" x14ac:dyDescent="0.25">
      <c r="A277" s="10"/>
      <c r="B277" s="22"/>
      <c r="C277" s="10"/>
      <c r="D277" s="10"/>
      <c r="E277" s="16"/>
      <c r="F277" s="10"/>
      <c r="G277" s="26"/>
      <c r="H277" s="10"/>
      <c r="I277" s="10"/>
      <c r="J277" s="10"/>
    </row>
    <row r="278" ht="20" customHeight="1" spans="1:10" x14ac:dyDescent="0.25">
      <c r="A278" s="10"/>
      <c r="B278" s="22"/>
      <c r="C278" s="10"/>
      <c r="D278" s="10"/>
      <c r="E278" s="16"/>
      <c r="F278" s="10"/>
      <c r="G278" s="26"/>
      <c r="H278" s="10"/>
      <c r="I278" s="10"/>
      <c r="J278" s="10"/>
    </row>
    <row r="279" ht="20" customHeight="1" spans="1:10" x14ac:dyDescent="0.25">
      <c r="A279" s="10"/>
      <c r="B279" s="22"/>
      <c r="C279" s="10"/>
      <c r="D279" s="10"/>
      <c r="E279" s="16"/>
      <c r="F279" s="10"/>
      <c r="G279" s="26"/>
      <c r="H279" s="10"/>
      <c r="I279" s="10"/>
      <c r="J279" s="10"/>
    </row>
    <row r="280" ht="20" customHeight="1" spans="1:10" x14ac:dyDescent="0.25">
      <c r="A280" s="10"/>
      <c r="B280" s="22"/>
      <c r="C280" s="10"/>
      <c r="D280" s="10"/>
      <c r="E280" s="16"/>
      <c r="F280" s="10"/>
      <c r="G280" s="26"/>
      <c r="H280" s="10"/>
      <c r="I280" s="10"/>
      <c r="J280" s="10"/>
    </row>
    <row r="281" ht="20" customHeight="1" spans="1:10" x14ac:dyDescent="0.25">
      <c r="A281" s="10"/>
      <c r="B281" s="22"/>
      <c r="C281" s="10"/>
      <c r="D281" s="10"/>
      <c r="E281" s="16"/>
      <c r="F281" s="10"/>
      <c r="G281" s="26"/>
      <c r="H281" s="10"/>
      <c r="I281" s="10"/>
      <c r="J281" s="10"/>
    </row>
    <row r="282" ht="20" customHeight="1" spans="1:10" x14ac:dyDescent="0.25">
      <c r="A282" s="10"/>
      <c r="B282" s="22"/>
      <c r="C282" s="10"/>
      <c r="D282" s="10"/>
      <c r="E282" s="16"/>
      <c r="F282" s="10"/>
      <c r="G282" s="26"/>
      <c r="H282" s="10"/>
      <c r="I282" s="10"/>
      <c r="J282" s="10"/>
    </row>
    <row r="283" ht="20" customHeight="1" spans="1:10" x14ac:dyDescent="0.25">
      <c r="A283" s="10"/>
      <c r="B283" s="22"/>
      <c r="C283" s="10"/>
      <c r="D283" s="10"/>
      <c r="E283" s="16"/>
      <c r="F283" s="10"/>
      <c r="G283" s="26"/>
      <c r="H283" s="10"/>
      <c r="I283" s="10"/>
      <c r="J283" s="10"/>
    </row>
    <row r="284" ht="20" customHeight="1" spans="1:10" x14ac:dyDescent="0.25">
      <c r="A284" s="10"/>
      <c r="B284" s="22"/>
      <c r="C284" s="10"/>
      <c r="D284" s="10"/>
      <c r="E284" s="16"/>
      <c r="F284" s="10"/>
      <c r="G284" s="26"/>
      <c r="H284" s="10"/>
      <c r="I284" s="10"/>
      <c r="J284" s="10"/>
    </row>
    <row r="285" ht="20" customHeight="1" spans="1:10" x14ac:dyDescent="0.25">
      <c r="A285" s="10"/>
      <c r="B285" s="22"/>
      <c r="C285" s="10"/>
      <c r="D285" s="10"/>
      <c r="E285" s="16"/>
      <c r="F285" s="10"/>
      <c r="G285" s="26"/>
      <c r="H285" s="10"/>
      <c r="I285" s="10"/>
      <c r="J285" s="10"/>
    </row>
    <row r="286" ht="20" customHeight="1" spans="1:10" x14ac:dyDescent="0.25">
      <c r="A286" s="10"/>
      <c r="B286" s="22"/>
      <c r="C286" s="10"/>
      <c r="D286" s="10"/>
      <c r="E286" s="16"/>
      <c r="F286" s="10"/>
      <c r="G286" s="26"/>
      <c r="H286" s="10"/>
      <c r="I286" s="10"/>
      <c r="J286" s="10"/>
    </row>
    <row r="287" ht="20" customHeight="1" spans="1:10" x14ac:dyDescent="0.25">
      <c r="A287" s="10"/>
      <c r="B287" s="22"/>
      <c r="C287" s="10"/>
      <c r="D287" s="10"/>
      <c r="E287" s="16"/>
      <c r="F287" s="10"/>
      <c r="G287" s="26"/>
      <c r="H287" s="10"/>
      <c r="I287" s="10"/>
      <c r="J287" s="10"/>
    </row>
    <row r="288" ht="20" customHeight="1" spans="1:10" x14ac:dyDescent="0.25">
      <c r="A288" s="10"/>
      <c r="B288" s="22"/>
      <c r="C288" s="10"/>
      <c r="D288" s="10"/>
      <c r="E288" s="16"/>
      <c r="F288" s="10"/>
      <c r="G288" s="26"/>
      <c r="H288" s="10"/>
      <c r="I288" s="10"/>
      <c r="J288" s="10"/>
    </row>
    <row r="289" ht="20" customHeight="1" spans="1:10" x14ac:dyDescent="0.25">
      <c r="A289" s="10"/>
      <c r="B289" s="22"/>
      <c r="C289" s="10"/>
      <c r="D289" s="10"/>
      <c r="E289" s="16"/>
      <c r="F289" s="10"/>
      <c r="G289" s="26"/>
      <c r="H289" s="10"/>
      <c r="I289" s="10"/>
      <c r="J289" s="10"/>
    </row>
    <row r="290" ht="20" customHeight="1" spans="1:10" x14ac:dyDescent="0.25">
      <c r="A290" s="10"/>
      <c r="B290" s="22"/>
      <c r="C290" s="10"/>
      <c r="D290" s="10"/>
      <c r="E290" s="16"/>
      <c r="F290" s="10"/>
      <c r="G290" s="26"/>
      <c r="H290" s="10"/>
      <c r="I290" s="10"/>
      <c r="J290" s="10"/>
    </row>
    <row r="291" ht="20" customHeight="1" spans="1:10" x14ac:dyDescent="0.25">
      <c r="A291" s="10"/>
      <c r="B291" s="22"/>
      <c r="C291" s="10"/>
      <c r="D291" s="10"/>
      <c r="E291" s="16"/>
      <c r="F291" s="10"/>
      <c r="G291" s="26"/>
      <c r="H291" s="10"/>
      <c r="I291" s="10"/>
      <c r="J291" s="10"/>
    </row>
    <row r="292" ht="20" customHeight="1" spans="1:10" x14ac:dyDescent="0.25">
      <c r="A292" s="10"/>
      <c r="B292" s="22"/>
      <c r="C292" s="10"/>
      <c r="D292" s="10"/>
      <c r="E292" s="16"/>
      <c r="F292" s="10"/>
      <c r="G292" s="26"/>
      <c r="H292" s="10"/>
      <c r="I292" s="10"/>
      <c r="J292" s="10"/>
    </row>
    <row r="293" ht="20" customHeight="1" spans="1:10" x14ac:dyDescent="0.25">
      <c r="A293" s="10"/>
      <c r="B293" s="22"/>
      <c r="C293" s="10"/>
      <c r="D293" s="10"/>
      <c r="E293" s="16"/>
      <c r="F293" s="10"/>
      <c r="G293" s="26"/>
      <c r="H293" s="10"/>
      <c r="I293" s="10"/>
      <c r="J293" s="10"/>
    </row>
    <row r="294" ht="20" customHeight="1" spans="1:10" x14ac:dyDescent="0.25">
      <c r="A294" s="10"/>
      <c r="B294" s="22"/>
      <c r="C294" s="10"/>
      <c r="D294" s="10"/>
      <c r="E294" s="16"/>
      <c r="F294" s="10"/>
      <c r="G294" s="26"/>
      <c r="H294" s="10"/>
      <c r="I294" s="10"/>
      <c r="J294" s="10"/>
    </row>
    <row r="295" ht="20" customHeight="1" spans="1:10" x14ac:dyDescent="0.25">
      <c r="A295" s="10"/>
      <c r="B295" s="22"/>
      <c r="C295" s="10"/>
      <c r="D295" s="10"/>
      <c r="E295" s="16"/>
      <c r="F295" s="10"/>
      <c r="G295" s="26"/>
      <c r="H295" s="10"/>
      <c r="I295" s="10"/>
      <c r="J295" s="10"/>
    </row>
    <row r="296" ht="20" customHeight="1" spans="1:10" x14ac:dyDescent="0.25">
      <c r="A296" s="10"/>
      <c r="B296" s="22"/>
      <c r="C296" s="10"/>
      <c r="D296" s="10"/>
      <c r="E296" s="16"/>
      <c r="F296" s="10"/>
      <c r="G296" s="26"/>
      <c r="H296" s="10"/>
      <c r="I296" s="10"/>
      <c r="J296" s="10"/>
    </row>
    <row r="297" ht="20" customHeight="1" spans="1:10" x14ac:dyDescent="0.25">
      <c r="A297" s="10"/>
      <c r="B297" s="22"/>
      <c r="C297" s="10"/>
      <c r="D297" s="10"/>
      <c r="E297" s="16"/>
      <c r="F297" s="10"/>
      <c r="G297" s="26"/>
      <c r="H297" s="10"/>
      <c r="I297" s="10"/>
      <c r="J297" s="10"/>
    </row>
    <row r="298" ht="20" customHeight="1" spans="1:10" x14ac:dyDescent="0.25">
      <c r="A298" s="10"/>
      <c r="B298" s="22"/>
      <c r="C298" s="10"/>
      <c r="D298" s="10"/>
      <c r="E298" s="16"/>
      <c r="F298" s="10"/>
      <c r="G298" s="26"/>
      <c r="H298" s="10"/>
      <c r="I298" s="10"/>
      <c r="J298" s="10"/>
    </row>
    <row r="299" ht="20" customHeight="1" spans="1:10" x14ac:dyDescent="0.25">
      <c r="A299" s="10"/>
      <c r="B299" s="22"/>
      <c r="C299" s="10"/>
      <c r="D299" s="10"/>
      <c r="E299" s="16"/>
      <c r="F299" s="10"/>
      <c r="G299" s="26"/>
      <c r="H299" s="10"/>
      <c r="I299" s="10"/>
      <c r="J299" s="10"/>
    </row>
    <row r="300" ht="20" customHeight="1" spans="1:10" x14ac:dyDescent="0.25">
      <c r="A300" s="10"/>
      <c r="B300" s="22"/>
      <c r="C300" s="10"/>
      <c r="D300" s="10"/>
      <c r="E300" s="16"/>
      <c r="F300" s="10"/>
      <c r="G300" s="26"/>
      <c r="H300" s="10"/>
      <c r="I300" s="10"/>
      <c r="J300" s="10"/>
    </row>
    <row r="301" ht="20" customHeight="1" spans="1:10" x14ac:dyDescent="0.25">
      <c r="A301" s="10"/>
      <c r="B301" s="22"/>
      <c r="C301" s="10"/>
      <c r="D301" s="10"/>
      <c r="E301" s="16"/>
      <c r="F301" s="10"/>
      <c r="G301" s="26"/>
      <c r="H301" s="10"/>
      <c r="I301" s="10"/>
      <c r="J301" s="10"/>
    </row>
    <row r="302" ht="20" customHeight="1" spans="1:10" x14ac:dyDescent="0.25">
      <c r="A302" s="10"/>
      <c r="B302" s="22"/>
      <c r="C302" s="10"/>
      <c r="D302" s="10"/>
      <c r="E302" s="16"/>
      <c r="F302" s="10"/>
      <c r="G302" s="26"/>
      <c r="H302" s="10"/>
      <c r="I302" s="10"/>
      <c r="J302" s="10"/>
    </row>
    <row r="303" ht="20" customHeight="1" spans="1:10" x14ac:dyDescent="0.25">
      <c r="A303" s="10"/>
      <c r="B303" s="22"/>
      <c r="C303" s="10"/>
      <c r="D303" s="10"/>
      <c r="E303" s="16"/>
      <c r="F303" s="10"/>
      <c r="G303" s="26"/>
      <c r="H303" s="10"/>
      <c r="I303" s="10"/>
      <c r="J303" s="10"/>
    </row>
    <row r="304" ht="20" customHeight="1" spans="1:10" x14ac:dyDescent="0.25">
      <c r="A304" s="10"/>
      <c r="B304" s="22"/>
      <c r="C304" s="10"/>
      <c r="D304" s="10"/>
      <c r="E304" s="16"/>
      <c r="F304" s="10"/>
      <c r="G304" s="26"/>
      <c r="H304" s="10"/>
      <c r="I304" s="10"/>
      <c r="J304" s="10"/>
    </row>
    <row r="305" ht="20" customHeight="1" spans="1:10" x14ac:dyDescent="0.25">
      <c r="A305" s="10"/>
      <c r="B305" s="22"/>
      <c r="C305" s="10"/>
      <c r="D305" s="10"/>
      <c r="E305" s="16"/>
      <c r="F305" s="10"/>
      <c r="G305" s="26"/>
      <c r="H305" s="10"/>
      <c r="I305" s="10"/>
      <c r="J305" s="10"/>
    </row>
    <row r="306" ht="20" customHeight="1" spans="1:10" x14ac:dyDescent="0.25">
      <c r="A306" s="10"/>
      <c r="B306" s="22"/>
      <c r="C306" s="10"/>
      <c r="D306" s="10"/>
      <c r="E306" s="16"/>
      <c r="F306" s="10"/>
      <c r="G306" s="26"/>
      <c r="H306" s="10"/>
      <c r="I306" s="10"/>
      <c r="J306" s="10"/>
    </row>
    <row r="307" ht="20" customHeight="1" spans="1:10" x14ac:dyDescent="0.25">
      <c r="A307" s="10"/>
      <c r="B307" s="22"/>
      <c r="C307" s="10"/>
      <c r="D307" s="10"/>
      <c r="E307" s="16"/>
      <c r="F307" s="10"/>
      <c r="G307" s="26"/>
      <c r="H307" s="10"/>
      <c r="I307" s="10"/>
      <c r="J307" s="10"/>
    </row>
    <row r="308" ht="20" customHeight="1" spans="1:10" x14ac:dyDescent="0.25">
      <c r="A308" s="10"/>
      <c r="B308" s="22"/>
      <c r="C308" s="10"/>
      <c r="D308" s="10"/>
      <c r="E308" s="16"/>
      <c r="F308" s="10"/>
      <c r="G308" s="26"/>
      <c r="H308" s="10"/>
      <c r="I308" s="10"/>
      <c r="J308" s="10"/>
    </row>
    <row r="309" ht="20" customHeight="1" spans="1:10" x14ac:dyDescent="0.25">
      <c r="A309" s="10"/>
      <c r="B309" s="22"/>
      <c r="C309" s="10"/>
      <c r="D309" s="10"/>
      <c r="E309" s="16"/>
      <c r="F309" s="10"/>
      <c r="G309" s="26"/>
      <c r="H309" s="10"/>
      <c r="I309" s="10"/>
      <c r="J309" s="10"/>
    </row>
  </sheetData>
  <autoFilter ref="B1:J1"/>
  <conditionalFormatting sqref="A2:J5000">
    <cfRule type="expression" dxfId="0" priority="1">
      <formula>$C2="Revenu"</formula>
    </cfRule>
  </conditionalFormatting>
  <dataValidations count="5">
    <dataValidation type="list" allowBlank="1" showErrorMessage="1" errorStyle="stop" errorTitle="Mois" error="Choisis une valeur dans la liste." sqref="B2:B5000">
      <formula1>'Mois'!$B$2:$B$61</formula1>
    </dataValidation>
    <dataValidation type="list" allowBlank="1" showErrorMessage="1" errorStyle="stop" errorTitle="Type" error="Choisis une valeur dans la liste." sqref="C2:C5000">
      <formula1>"Revenu,Dépense fixe,Dépense variable"</formula1>
    </dataValidation>
    <dataValidation type="decimal" operator="greaterThanOrEqual" allowBlank="1" showErrorMessage="1" errorTitle="Montant" error="Saisis un montant positif : le type donne le sens." sqref="E2:E5000">
      <formula1>0</formula1>
    </dataValidation>
    <dataValidation type="list" allowBlank="1" showErrorMessage="1" errorStyle="stop" errorTitle="Catégorie" error="Choisis une valeur dans la liste." sqref="F2:F5000">
      <formula1>'Catégories'!$A$2:$A$200</formula1>
    </dataValidation>
    <dataValidation type="list" allowBlank="1" showErrorMessage="1" errorStyle="stop" errorTitle="Oui ou Non" error="Choisis une valeur dans la liste." sqref="I2:J50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Lisez-moi</vt:lpstr>
      <vt:lpstr>Réglages</vt:lpstr>
      <vt:lpstr>Catégories</vt:lpstr>
      <vt:lpstr>Dépenses fixes</vt:lpstr>
      <vt:lpstr>Mois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Suivi Budget</dc:creator>
  <dc:title>Suivi Budget, classeur v1</dc:title>
  <dc:subject/>
  <dc:description/>
  <cp:keywords/>
  <cp:category/>
  <cp:lastModifiedBy>Unknown</cp:lastModifiedBy>
  <dcterms:created xsi:type="dcterms:W3CDTF">2026-09-29T19:35:41Z</dcterms:created>
  <dcterms:modified xsi:type="dcterms:W3CDTF">2026-09-29T19:35:41Z</dcterms:modified>
</cp:coreProperties>
</file>